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ysi\Desktop\"/>
    </mc:Choice>
  </mc:AlternateContent>
  <xr:revisionPtr revIDLastSave="0" documentId="13_ncr:1_{182A3719-DEA5-44B3-81AB-AF584FA98D84}" xr6:coauthVersionLast="47" xr6:coauthVersionMax="47" xr10:uidLastSave="{00000000-0000-0000-0000-000000000000}"/>
  <bookViews>
    <workbookView xWindow="-108" yWindow="-108" windowWidth="23256" windowHeight="12456" xr2:uid="{E8A6D925-2B58-4830-A5BC-9FC704797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" i="1" l="1"/>
  <c r="C21" i="1"/>
  <c r="C8" i="1"/>
  <c r="C6" i="1"/>
  <c r="C5" i="1"/>
</calcChain>
</file>

<file path=xl/sharedStrings.xml><?xml version="1.0" encoding="utf-8"?>
<sst xmlns="http://schemas.openxmlformats.org/spreadsheetml/2006/main" count="31" uniqueCount="29">
  <si>
    <t>DESCRIPCION</t>
  </si>
  <si>
    <t>UND</t>
  </si>
  <si>
    <t>PERFIL ANGULO DE 1 1/2"X1 1/2"X 2.5mm</t>
  </si>
  <si>
    <t>TUBO CUADRADO NEGRO 1 1/2"X1 1/2"</t>
  </si>
  <si>
    <t>TUBO CUADRADO NEGRO 3/4"X 3/4"</t>
  </si>
  <si>
    <t>TUBO CUADRADO NEGRO 1/2"X 1/2"</t>
  </si>
  <si>
    <t>PLANCHA DE 30X30 CM X 4mm</t>
  </si>
  <si>
    <t>PLANCHA DE 1.20X0.40 m x 1/8"</t>
  </si>
  <si>
    <t>PERNOS DE ANCLAJE Ꝋ= 1/2"</t>
  </si>
  <si>
    <t>MALLA CUADRADA CRIPADA N°10 2"X2"</t>
  </si>
  <si>
    <t>PERFIL ANGULO DE 3/4"X3/4"X 3/16" X 6m.</t>
  </si>
  <si>
    <r>
      <t xml:space="preserve">TUBO FIERRO NEGRO </t>
    </r>
    <r>
      <rPr>
        <sz val="11"/>
        <color theme="1"/>
        <rFont val="Calibri"/>
        <family val="2"/>
      </rPr>
      <t>Ꝋ=2" X 2.5 mm</t>
    </r>
    <r>
      <rPr>
        <sz val="11"/>
        <color theme="1"/>
        <rFont val="Calibri"/>
        <family val="2"/>
        <scheme val="minor"/>
      </rPr>
      <t xml:space="preserve"> x 6 m.</t>
    </r>
  </si>
  <si>
    <t>3 rollos</t>
  </si>
  <si>
    <t>MALLA ALAMBRE GALVANIZADO N°10 COCADA 2"X2" Rollo de 100m.</t>
  </si>
  <si>
    <t>MATERIALES PARA CERCO PERIMETRICO</t>
  </si>
  <si>
    <t>MATERIALES PARA TECHO DE UBS</t>
  </si>
  <si>
    <t>SOLERAS DE 2 X 1 1/2" X 9´</t>
  </si>
  <si>
    <t>SOLERAS DE 2 X 1 1/2" X 8 1/2´</t>
  </si>
  <si>
    <t>SOLERAS DE 2 X 3" X 9´</t>
  </si>
  <si>
    <t>SOLERAS DE 2 X 3" X 7 1/2´</t>
  </si>
  <si>
    <t>PERNOS 3" Ꝋ=5/16"</t>
  </si>
  <si>
    <t>PERFIL ANGULO DE 2"X2"X 1/8" X 6m.</t>
  </si>
  <si>
    <t>CAJA DE CLAVOS CALAMINERO DE 2 1/2"</t>
  </si>
  <si>
    <t>SOLERAS DE 2 X 1" X 8´</t>
  </si>
  <si>
    <t>ESPARRAGOS DE 3" X 1/2"</t>
  </si>
  <si>
    <t>PERNOS DE 2" X 1/2"</t>
  </si>
  <si>
    <t>TARUGOS DE 3" X 1/2"</t>
  </si>
  <si>
    <t>PLANCHA DE POLICARBONATO DE 1.2 X 2.4m.</t>
  </si>
  <si>
    <t>PLANCHA FIERRO DE 1.20X 2.40m. X 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</si>
</sst>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275B-E664-42F0-BB2D-595F1DF9133B}">
  <dimension ref="B3:C31"/>
  <sheetViews>
    <sheetView tabSelected="1" topLeftCell="A2" workbookViewId="0">
      <selection activeCell="B19" sqref="B19"/>
    </sheetView>
  </sheetViews>
  <sheetFormatPr baseColWidth="10" defaultRowHeight="14.4" x14ac:dyDescent="0.3"/>
  <cols>
    <col min="2" max="2" width="58" bestFit="1" customWidth="1"/>
  </cols>
  <sheetData>
    <row r="3" spans="2:3" x14ac:dyDescent="0.3">
      <c r="B3" s="5" t="s">
        <v>14</v>
      </c>
    </row>
    <row r="4" spans="2:3" x14ac:dyDescent="0.3">
      <c r="B4" s="3" t="s">
        <v>0</v>
      </c>
      <c r="C4" s="4" t="s">
        <v>1</v>
      </c>
    </row>
    <row r="5" spans="2:3" x14ac:dyDescent="0.3">
      <c r="B5" s="1" t="s">
        <v>11</v>
      </c>
      <c r="C5" s="2">
        <f>21+3+26+16</f>
        <v>66</v>
      </c>
    </row>
    <row r="6" spans="2:3" x14ac:dyDescent="0.3">
      <c r="B6" s="1" t="s">
        <v>10</v>
      </c>
      <c r="C6" s="2">
        <f>63+5+80+46</f>
        <v>194</v>
      </c>
    </row>
    <row r="7" spans="2:3" x14ac:dyDescent="0.3">
      <c r="B7" s="1" t="s">
        <v>13</v>
      </c>
      <c r="C7" s="2" t="s">
        <v>12</v>
      </c>
    </row>
    <row r="8" spans="2:3" x14ac:dyDescent="0.3">
      <c r="B8" s="1" t="s">
        <v>2</v>
      </c>
      <c r="C8" s="2">
        <f>4+2+1.5+1.5</f>
        <v>9</v>
      </c>
    </row>
    <row r="9" spans="2:3" x14ac:dyDescent="0.3">
      <c r="B9" s="1" t="s">
        <v>3</v>
      </c>
      <c r="C9" s="2">
        <v>30</v>
      </c>
    </row>
    <row r="10" spans="2:3" x14ac:dyDescent="0.3">
      <c r="B10" s="1" t="s">
        <v>4</v>
      </c>
      <c r="C10" s="2">
        <v>19</v>
      </c>
    </row>
    <row r="11" spans="2:3" x14ac:dyDescent="0.3">
      <c r="B11" s="1" t="s">
        <v>5</v>
      </c>
      <c r="C11" s="2">
        <v>3</v>
      </c>
    </row>
    <row r="12" spans="2:3" x14ac:dyDescent="0.3">
      <c r="B12" s="1" t="s">
        <v>6</v>
      </c>
      <c r="C12" s="2">
        <v>1</v>
      </c>
    </row>
    <row r="13" spans="2:3" x14ac:dyDescent="0.3">
      <c r="B13" s="1" t="s">
        <v>7</v>
      </c>
      <c r="C13" s="2">
        <v>1</v>
      </c>
    </row>
    <row r="14" spans="2:3" x14ac:dyDescent="0.3">
      <c r="B14" s="1" t="s">
        <v>8</v>
      </c>
      <c r="C14" s="2">
        <v>48</v>
      </c>
    </row>
    <row r="15" spans="2:3" x14ac:dyDescent="0.3">
      <c r="B15" s="1" t="s">
        <v>9</v>
      </c>
      <c r="C15" s="2">
        <v>20</v>
      </c>
    </row>
    <row r="17" spans="2:3" x14ac:dyDescent="0.3">
      <c r="B17" s="6" t="s">
        <v>15</v>
      </c>
    </row>
    <row r="18" spans="2:3" x14ac:dyDescent="0.3">
      <c r="B18" s="3" t="s">
        <v>0</v>
      </c>
      <c r="C18" s="4" t="s">
        <v>1</v>
      </c>
    </row>
    <row r="19" spans="2:3" x14ac:dyDescent="0.3">
      <c r="B19" s="7" t="s">
        <v>16</v>
      </c>
      <c r="C19" s="8">
        <v>420</v>
      </c>
    </row>
    <row r="20" spans="2:3" x14ac:dyDescent="0.3">
      <c r="B20" s="7" t="s">
        <v>17</v>
      </c>
      <c r="C20" s="8">
        <v>525</v>
      </c>
    </row>
    <row r="21" spans="2:3" x14ac:dyDescent="0.3">
      <c r="B21" s="7" t="s">
        <v>18</v>
      </c>
      <c r="C21" s="8">
        <f>315+35</f>
        <v>350</v>
      </c>
    </row>
    <row r="22" spans="2:3" x14ac:dyDescent="0.3">
      <c r="B22" s="7" t="s">
        <v>19</v>
      </c>
      <c r="C22" s="8">
        <v>315</v>
      </c>
    </row>
    <row r="23" spans="2:3" x14ac:dyDescent="0.3">
      <c r="B23" s="7" t="s">
        <v>23</v>
      </c>
      <c r="C23" s="8">
        <v>210</v>
      </c>
    </row>
    <row r="24" spans="2:3" x14ac:dyDescent="0.3">
      <c r="B24" s="7" t="s">
        <v>20</v>
      </c>
      <c r="C24" s="8">
        <v>535</v>
      </c>
    </row>
    <row r="25" spans="2:3" x14ac:dyDescent="0.3">
      <c r="B25" s="7" t="s">
        <v>28</v>
      </c>
      <c r="C25" s="8">
        <f>23+13+9</f>
        <v>45</v>
      </c>
    </row>
    <row r="26" spans="2:3" x14ac:dyDescent="0.3">
      <c r="B26" s="1" t="s">
        <v>21</v>
      </c>
      <c r="C26" s="8">
        <v>18</v>
      </c>
    </row>
    <row r="27" spans="2:3" x14ac:dyDescent="0.3">
      <c r="B27" s="7" t="s">
        <v>24</v>
      </c>
      <c r="C27" s="8">
        <v>2100</v>
      </c>
    </row>
    <row r="28" spans="2:3" x14ac:dyDescent="0.3">
      <c r="B28" s="7" t="s">
        <v>25</v>
      </c>
      <c r="C28" s="8">
        <v>2100</v>
      </c>
    </row>
    <row r="29" spans="2:3" x14ac:dyDescent="0.3">
      <c r="B29" s="7" t="s">
        <v>26</v>
      </c>
      <c r="C29" s="8">
        <v>2100</v>
      </c>
    </row>
    <row r="30" spans="2:3" x14ac:dyDescent="0.3">
      <c r="B30" s="7" t="s">
        <v>22</v>
      </c>
      <c r="C30" s="8">
        <v>1</v>
      </c>
    </row>
    <row r="31" spans="2:3" x14ac:dyDescent="0.3">
      <c r="B31" s="7" t="s">
        <v>27</v>
      </c>
      <c r="C31" s="8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Loysi</dc:creator>
  <cp:lastModifiedBy>Loysi</cp:lastModifiedBy>
  <dcterms:created xsi:type="dcterms:W3CDTF">2024-06-20T23:37:20Z</dcterms:created>
  <dcterms:modified xsi:type="dcterms:W3CDTF">2024-06-21T00:28:12Z</dcterms:modified>
</cp:coreProperties>
</file>
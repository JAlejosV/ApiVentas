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bf41f969f7bb4a/Documentos/"/>
    </mc:Choice>
  </mc:AlternateContent>
  <xr:revisionPtr revIDLastSave="322" documentId="13_ncr:1_{24359D12-0D7A-40E5-9C41-B03199E84FAA}" xr6:coauthVersionLast="47" xr6:coauthVersionMax="47" xr10:uidLastSave="{075A3715-8C2D-4866-BC26-02FB66569D16}"/>
  <bookViews>
    <workbookView xWindow="-120" yWindow="-120" windowWidth="29040" windowHeight="15840" firstSheet="2" activeTab="10" xr2:uid="{7834589E-BFB0-4C51-A83B-AAE22D19159D}"/>
  </bookViews>
  <sheets>
    <sheet name="Piso 3 Cuarto 1" sheetId="1" r:id="rId1"/>
    <sheet name="Estructura" sheetId="2" r:id="rId2"/>
    <sheet name="Tarrajeo" sheetId="3" r:id="rId3"/>
    <sheet name="Ceramica" sheetId="6" r:id="rId4"/>
    <sheet name="Pintada" sheetId="7" r:id="rId5"/>
    <sheet name="Luz" sheetId="8" r:id="rId6"/>
    <sheet name="Lavanderia" sheetId="9" r:id="rId7"/>
    <sheet name="Final 1P Piso3" sheetId="11" r:id="rId8"/>
    <sheet name="Porce 1P" sheetId="12" r:id="rId9"/>
    <sheet name="Final RJ Piso3" sheetId="10" r:id="rId10"/>
    <sheet name="Yeta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3" l="1"/>
  <c r="N22" i="13"/>
  <c r="C32" i="13"/>
  <c r="A21" i="13"/>
  <c r="A22" i="13" s="1"/>
  <c r="A23" i="13" s="1"/>
  <c r="A24" i="13" s="1"/>
  <c r="A25" i="13" s="1"/>
  <c r="A26" i="13" s="1"/>
  <c r="A27" i="13" s="1"/>
  <c r="A28" i="13" s="1"/>
  <c r="E12" i="13"/>
  <c r="E11" i="13"/>
  <c r="E10" i="13"/>
  <c r="K9" i="13"/>
  <c r="E9" i="13"/>
  <c r="K8" i="13"/>
  <c r="E8" i="13"/>
  <c r="K7" i="13"/>
  <c r="E7" i="13"/>
  <c r="K6" i="13"/>
  <c r="K16" i="13" s="1"/>
  <c r="E6" i="13"/>
  <c r="K5" i="13"/>
  <c r="E5" i="13"/>
  <c r="K4" i="13"/>
  <c r="G4" i="13"/>
  <c r="G5" i="13" s="1"/>
  <c r="G6" i="13" s="1"/>
  <c r="G7" i="13" s="1"/>
  <c r="G8" i="13" s="1"/>
  <c r="G9" i="13" s="1"/>
  <c r="G10" i="13" s="1"/>
  <c r="G11" i="13" s="1"/>
  <c r="G12" i="13" s="1"/>
  <c r="G13" i="13" s="1"/>
  <c r="E4" i="13"/>
  <c r="K3" i="13"/>
  <c r="E3" i="13"/>
  <c r="C32" i="12"/>
  <c r="A22" i="12"/>
  <c r="A23" i="12" s="1"/>
  <c r="A24" i="12" s="1"/>
  <c r="A25" i="12" s="1"/>
  <c r="A26" i="12" s="1"/>
  <c r="A27" i="12" s="1"/>
  <c r="A28" i="12" s="1"/>
  <c r="A21" i="12"/>
  <c r="E12" i="12"/>
  <c r="E11" i="12"/>
  <c r="E10" i="12"/>
  <c r="K9" i="12"/>
  <c r="E9" i="12"/>
  <c r="K8" i="12"/>
  <c r="E8" i="12"/>
  <c r="K7" i="12"/>
  <c r="E7" i="12"/>
  <c r="K6" i="12"/>
  <c r="E6" i="12"/>
  <c r="K5" i="12"/>
  <c r="E5" i="12"/>
  <c r="K4" i="12"/>
  <c r="G4" i="12"/>
  <c r="G5" i="12" s="1"/>
  <c r="G6" i="12" s="1"/>
  <c r="G7" i="12" s="1"/>
  <c r="G8" i="12" s="1"/>
  <c r="G9" i="12" s="1"/>
  <c r="G10" i="12" s="1"/>
  <c r="G11" i="12" s="1"/>
  <c r="G12" i="12" s="1"/>
  <c r="G13" i="12" s="1"/>
  <c r="E4" i="12"/>
  <c r="K3" i="12"/>
  <c r="K16" i="12" s="1"/>
  <c r="E3" i="12"/>
  <c r="O5" i="10"/>
  <c r="C32" i="11"/>
  <c r="A22" i="11"/>
  <c r="A23" i="11" s="1"/>
  <c r="A24" i="11" s="1"/>
  <c r="A25" i="11" s="1"/>
  <c r="A26" i="11" s="1"/>
  <c r="A27" i="11" s="1"/>
  <c r="A28" i="11" s="1"/>
  <c r="A21" i="11"/>
  <c r="E12" i="11"/>
  <c r="E11" i="11"/>
  <c r="E10" i="11"/>
  <c r="K9" i="11"/>
  <c r="E9" i="11"/>
  <c r="K8" i="11"/>
  <c r="E8" i="11"/>
  <c r="K7" i="11"/>
  <c r="E7" i="11"/>
  <c r="K6" i="11"/>
  <c r="E6" i="11"/>
  <c r="K5" i="11"/>
  <c r="G5" i="11"/>
  <c r="G6" i="11" s="1"/>
  <c r="G7" i="11" s="1"/>
  <c r="G8" i="11" s="1"/>
  <c r="G9" i="11" s="1"/>
  <c r="G10" i="11" s="1"/>
  <c r="G11" i="11" s="1"/>
  <c r="G12" i="11" s="1"/>
  <c r="G13" i="11" s="1"/>
  <c r="E5" i="11"/>
  <c r="K4" i="11"/>
  <c r="G4" i="11"/>
  <c r="E4" i="11"/>
  <c r="K3" i="11"/>
  <c r="K16" i="11" s="1"/>
  <c r="E3" i="11"/>
  <c r="E16" i="11" s="1"/>
  <c r="K6" i="10"/>
  <c r="K7" i="10"/>
  <c r="K8" i="10"/>
  <c r="K9" i="10"/>
  <c r="E4" i="10"/>
  <c r="E5" i="10"/>
  <c r="E6" i="10"/>
  <c r="E7" i="10"/>
  <c r="E8" i="10"/>
  <c r="E9" i="10"/>
  <c r="E10" i="10"/>
  <c r="E11" i="10"/>
  <c r="E12" i="10"/>
  <c r="C32" i="10"/>
  <c r="A22" i="10"/>
  <c r="A23" i="10" s="1"/>
  <c r="A24" i="10" s="1"/>
  <c r="A25" i="10" s="1"/>
  <c r="A26" i="10" s="1"/>
  <c r="A27" i="10" s="1"/>
  <c r="A28" i="10" s="1"/>
  <c r="A21" i="10"/>
  <c r="K5" i="10"/>
  <c r="K4" i="10"/>
  <c r="G4" i="10"/>
  <c r="G5" i="10" s="1"/>
  <c r="G6" i="10" s="1"/>
  <c r="G7" i="10" s="1"/>
  <c r="G8" i="10" s="1"/>
  <c r="G9" i="10" s="1"/>
  <c r="G10" i="10" s="1"/>
  <c r="G11" i="10" s="1"/>
  <c r="G12" i="10" s="1"/>
  <c r="G13" i="10" s="1"/>
  <c r="K3" i="10"/>
  <c r="E3" i="10"/>
  <c r="J25" i="9"/>
  <c r="J26" i="9" s="1"/>
  <c r="J23" i="9"/>
  <c r="J24" i="9"/>
  <c r="J21" i="9"/>
  <c r="J22" i="9"/>
  <c r="J17" i="9"/>
  <c r="J13" i="9"/>
  <c r="C32" i="9"/>
  <c r="A21" i="9"/>
  <c r="A22" i="9" s="1"/>
  <c r="A23" i="9" s="1"/>
  <c r="A24" i="9" s="1"/>
  <c r="A25" i="9" s="1"/>
  <c r="A26" i="9" s="1"/>
  <c r="A27" i="9" s="1"/>
  <c r="A28" i="9" s="1"/>
  <c r="E16" i="9"/>
  <c r="A73" i="3"/>
  <c r="A74" i="3"/>
  <c r="A75" i="3" s="1"/>
  <c r="A76" i="3" s="1"/>
  <c r="A77" i="3" s="1"/>
  <c r="A78" i="3" s="1"/>
  <c r="A79" i="3" s="1"/>
  <c r="A80" i="3" s="1"/>
  <c r="A81" i="3" s="1"/>
  <c r="A82" i="3" s="1"/>
  <c r="A83" i="3" s="1"/>
  <c r="C82" i="3"/>
  <c r="M2" i="8"/>
  <c r="K16" i="8"/>
  <c r="K9" i="8"/>
  <c r="K8" i="8"/>
  <c r="K7" i="8"/>
  <c r="K6" i="8"/>
  <c r="K5" i="8"/>
  <c r="K4" i="8"/>
  <c r="G4" i="8"/>
  <c r="G5" i="8" s="1"/>
  <c r="G6" i="8" s="1"/>
  <c r="G7" i="8" s="1"/>
  <c r="G8" i="8" s="1"/>
  <c r="G9" i="8" s="1"/>
  <c r="G10" i="8" s="1"/>
  <c r="G11" i="8" s="1"/>
  <c r="G12" i="8" s="1"/>
  <c r="G13" i="8" s="1"/>
  <c r="K3" i="8"/>
  <c r="C32" i="8"/>
  <c r="A21" i="8"/>
  <c r="A22" i="8" s="1"/>
  <c r="A23" i="8" s="1"/>
  <c r="A24" i="8" s="1"/>
  <c r="A25" i="8" s="1"/>
  <c r="A26" i="8" s="1"/>
  <c r="A27" i="8" s="1"/>
  <c r="A28" i="8" s="1"/>
  <c r="E3" i="8"/>
  <c r="E16" i="8" s="1"/>
  <c r="C32" i="7"/>
  <c r="C33" i="7" s="1"/>
  <c r="A21" i="7"/>
  <c r="A22" i="7" s="1"/>
  <c r="A23" i="7" s="1"/>
  <c r="A24" i="7" s="1"/>
  <c r="A25" i="7" s="1"/>
  <c r="A26" i="7" s="1"/>
  <c r="A27" i="7" s="1"/>
  <c r="A28" i="7" s="1"/>
  <c r="E3" i="7"/>
  <c r="E16" i="7" s="1"/>
  <c r="E7" i="6"/>
  <c r="E6" i="6"/>
  <c r="E5" i="6"/>
  <c r="E4" i="6"/>
  <c r="E3" i="6"/>
  <c r="I58" i="3"/>
  <c r="I61" i="3" s="1"/>
  <c r="I82" i="3" s="1"/>
  <c r="M63" i="3"/>
  <c r="M65" i="3" s="1"/>
  <c r="K59" i="3"/>
  <c r="P55" i="3"/>
  <c r="P54" i="3"/>
  <c r="E16" i="13" l="1"/>
  <c r="C33" i="13" s="1"/>
  <c r="A31" i="13"/>
  <c r="A32" i="13" s="1"/>
  <c r="A33" i="13" s="1"/>
  <c r="A29" i="13"/>
  <c r="A30" i="13" s="1"/>
  <c r="E16" i="12"/>
  <c r="M2" i="12" s="1"/>
  <c r="A31" i="12"/>
  <c r="A32" i="12" s="1"/>
  <c r="A33" i="12" s="1"/>
  <c r="A29" i="12"/>
  <c r="A30" i="12" s="1"/>
  <c r="M2" i="11"/>
  <c r="C33" i="11"/>
  <c r="A31" i="11"/>
  <c r="A32" i="11" s="1"/>
  <c r="A33" i="11" s="1"/>
  <c r="A29" i="11"/>
  <c r="A30" i="11" s="1"/>
  <c r="E16" i="10"/>
  <c r="C33" i="10" s="1"/>
  <c r="K16" i="10"/>
  <c r="A31" i="10"/>
  <c r="A32" i="10" s="1"/>
  <c r="A33" i="10" s="1"/>
  <c r="A29" i="10"/>
  <c r="A30" i="10" s="1"/>
  <c r="C33" i="9"/>
  <c r="A31" i="9"/>
  <c r="A32" i="9" s="1"/>
  <c r="A33" i="9" s="1"/>
  <c r="A29" i="9"/>
  <c r="A30" i="9" s="1"/>
  <c r="P56" i="3"/>
  <c r="P59" i="3" s="1"/>
  <c r="G84" i="3"/>
  <c r="C33" i="8"/>
  <c r="A31" i="8"/>
  <c r="A32" i="8" s="1"/>
  <c r="A33" i="8" s="1"/>
  <c r="A29" i="8"/>
  <c r="A30" i="8" s="1"/>
  <c r="A31" i="7"/>
  <c r="A32" i="7" s="1"/>
  <c r="A33" i="7" s="1"/>
  <c r="A29" i="7"/>
  <c r="A30" i="7" s="1"/>
  <c r="O52" i="3"/>
  <c r="O51" i="3"/>
  <c r="O50" i="3"/>
  <c r="M29" i="3"/>
  <c r="J46" i="3"/>
  <c r="J54" i="3" s="1"/>
  <c r="O47" i="3"/>
  <c r="O48" i="3"/>
  <c r="O46" i="3"/>
  <c r="M2" i="13" l="1"/>
  <c r="C33" i="12"/>
  <c r="M2" i="10"/>
  <c r="O49" i="3"/>
  <c r="J55" i="3" s="1"/>
  <c r="O53" i="3"/>
  <c r="M28" i="3"/>
  <c r="M14" i="3" l="1"/>
  <c r="M13" i="3"/>
  <c r="M12" i="3"/>
  <c r="M10" i="3"/>
  <c r="M9" i="3"/>
  <c r="M8" i="3"/>
  <c r="M7" i="3"/>
  <c r="M6" i="3"/>
  <c r="M5" i="3"/>
  <c r="M4" i="3"/>
  <c r="I4" i="3"/>
  <c r="I5" i="3" s="1"/>
  <c r="I6" i="3" s="1"/>
  <c r="I7" i="3" s="1"/>
  <c r="I8" i="3" s="1"/>
  <c r="I9" i="3" s="1"/>
  <c r="I10" i="3" s="1"/>
  <c r="I11" i="3" s="1"/>
  <c r="I12" i="3" s="1"/>
  <c r="I13" i="3" s="1"/>
  <c r="I14" i="3" s="1"/>
  <c r="M3" i="3"/>
  <c r="E10" i="3"/>
  <c r="E9" i="3"/>
  <c r="E8" i="3"/>
  <c r="K29" i="2" l="1"/>
  <c r="K30" i="2"/>
  <c r="K31" i="2"/>
  <c r="K32" i="2"/>
  <c r="K33" i="2"/>
  <c r="K34" i="2"/>
  <c r="K35" i="2"/>
  <c r="K36" i="2"/>
  <c r="K37" i="2"/>
  <c r="K38" i="2"/>
  <c r="K39" i="2"/>
  <c r="K40" i="2"/>
  <c r="K28" i="2"/>
  <c r="N7" i="2"/>
  <c r="L24" i="2"/>
  <c r="M10" i="2"/>
  <c r="M11" i="2"/>
  <c r="M12" i="2"/>
  <c r="M13" i="2"/>
  <c r="M14" i="2"/>
  <c r="M15" i="2"/>
  <c r="M16" i="2"/>
  <c r="M17" i="2"/>
  <c r="M18" i="2"/>
  <c r="M9" i="2"/>
  <c r="M8" i="2"/>
  <c r="M7" i="2"/>
  <c r="M6" i="2"/>
  <c r="M3" i="2"/>
  <c r="M5" i="2"/>
  <c r="M4" i="2"/>
  <c r="A42" i="2"/>
  <c r="A43" i="2"/>
  <c r="A44" i="2" s="1"/>
  <c r="A45" i="2" s="1"/>
  <c r="A46" i="2" s="1"/>
  <c r="A47" i="2" s="1"/>
  <c r="A48" i="2" s="1"/>
  <c r="C47" i="2"/>
  <c r="A5" i="6"/>
  <c r="E21" i="6" l="1"/>
  <c r="M41" i="3"/>
  <c r="I29" i="3"/>
  <c r="I30" i="3" s="1"/>
  <c r="I31" i="3" s="1"/>
  <c r="I32" i="3" s="1"/>
  <c r="I33" i="3" s="1"/>
  <c r="I34" i="3" s="1"/>
  <c r="I35" i="3" s="1"/>
  <c r="I36" i="3" s="1"/>
  <c r="I39" i="3" s="1"/>
  <c r="I40" i="3" s="1"/>
  <c r="I41" i="3" s="1"/>
  <c r="A29" i="3"/>
  <c r="A30" i="3" s="1"/>
  <c r="A31" i="3" s="1"/>
  <c r="A32" i="3" s="1"/>
  <c r="A33" i="3" s="1"/>
  <c r="A34" i="3" s="1"/>
  <c r="A35" i="3" s="1"/>
  <c r="A36" i="3" s="1"/>
  <c r="E7" i="3"/>
  <c r="E6" i="3"/>
  <c r="E5" i="3"/>
  <c r="I15" i="3"/>
  <c r="I16" i="3" s="1"/>
  <c r="I17" i="3" s="1"/>
  <c r="I18" i="3" s="1"/>
  <c r="I19" i="3" s="1"/>
  <c r="I20" i="3" s="1"/>
  <c r="I21" i="3" s="1"/>
  <c r="I22" i="3" s="1"/>
  <c r="I23" i="3" s="1"/>
  <c r="I24" i="3" s="1"/>
  <c r="E4" i="3"/>
  <c r="A4" i="3"/>
  <c r="A5" i="3" s="1"/>
  <c r="A6" i="3" s="1"/>
  <c r="A7" i="3" s="1"/>
  <c r="A8" i="3" s="1"/>
  <c r="E3" i="3"/>
  <c r="K18" i="2"/>
  <c r="K17" i="2"/>
  <c r="K16" i="2"/>
  <c r="E7" i="2"/>
  <c r="A9" i="3" l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M24" i="3"/>
  <c r="E24" i="3"/>
  <c r="A39" i="3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37" i="3"/>
  <c r="A38" i="3" s="1"/>
  <c r="G29" i="2"/>
  <c r="G30" i="2" s="1"/>
  <c r="G31" i="2" s="1"/>
  <c r="G32" i="2" s="1"/>
  <c r="G33" i="2" s="1"/>
  <c r="G34" i="2" s="1"/>
  <c r="G35" i="2" s="1"/>
  <c r="G36" i="2" s="1"/>
  <c r="G39" i="2" s="1"/>
  <c r="G40" i="2" s="1"/>
  <c r="G41" i="2" s="1"/>
  <c r="A29" i="2"/>
  <c r="A30" i="2" s="1"/>
  <c r="A31" i="2" s="1"/>
  <c r="A32" i="2" s="1"/>
  <c r="A33" i="2" s="1"/>
  <c r="A34" i="2" s="1"/>
  <c r="A35" i="2" s="1"/>
  <c r="A36" i="2" s="1"/>
  <c r="K41" i="2"/>
  <c r="K42" i="2" s="1"/>
  <c r="K15" i="2"/>
  <c r="K14" i="2"/>
  <c r="K13" i="2"/>
  <c r="K12" i="2"/>
  <c r="K11" i="2"/>
  <c r="K10" i="2"/>
  <c r="K9" i="2"/>
  <c r="K8" i="2"/>
  <c r="K7" i="2"/>
  <c r="K6" i="2"/>
  <c r="E6" i="2"/>
  <c r="K5" i="2"/>
  <c r="E5" i="2"/>
  <c r="K4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E4" i="2"/>
  <c r="A4" i="2"/>
  <c r="A5" i="2" s="1"/>
  <c r="A6" i="2" s="1"/>
  <c r="A7" i="2" s="1"/>
  <c r="A8" i="2" s="1"/>
  <c r="A16" i="2" s="1"/>
  <c r="A17" i="2" s="1"/>
  <c r="A18" i="2" s="1"/>
  <c r="A19" i="2" s="1"/>
  <c r="A20" i="2" s="1"/>
  <c r="A21" i="2" s="1"/>
  <c r="A22" i="2" s="1"/>
  <c r="A23" i="2" s="1"/>
  <c r="A24" i="2" s="1"/>
  <c r="K3" i="2"/>
  <c r="E3" i="2"/>
  <c r="C40" i="1"/>
  <c r="K36" i="1"/>
  <c r="K35" i="1"/>
  <c r="K34" i="1"/>
  <c r="K33" i="1"/>
  <c r="K32" i="1"/>
  <c r="K31" i="1"/>
  <c r="K30" i="1"/>
  <c r="K29" i="1"/>
  <c r="G29" i="1"/>
  <c r="G30" i="1" s="1"/>
  <c r="G31" i="1" s="1"/>
  <c r="G32" i="1" s="1"/>
  <c r="G33" i="1" s="1"/>
  <c r="G34" i="1" s="1"/>
  <c r="G35" i="1" s="1"/>
  <c r="G36" i="1" s="1"/>
  <c r="G39" i="1" s="1"/>
  <c r="G40" i="1" s="1"/>
  <c r="G41" i="1" s="1"/>
  <c r="A29" i="1"/>
  <c r="A30" i="1" s="1"/>
  <c r="A31" i="1" s="1"/>
  <c r="A32" i="1" s="1"/>
  <c r="A33" i="1" s="1"/>
  <c r="A34" i="1" s="1"/>
  <c r="A35" i="1" s="1"/>
  <c r="A36" i="1" s="1"/>
  <c r="K28" i="1"/>
  <c r="K15" i="1"/>
  <c r="K14" i="1"/>
  <c r="K13" i="1"/>
  <c r="K12" i="1"/>
  <c r="K11" i="1"/>
  <c r="K10" i="1"/>
  <c r="K9" i="1"/>
  <c r="K8" i="1"/>
  <c r="K7" i="1"/>
  <c r="K6" i="1"/>
  <c r="E6" i="1"/>
  <c r="K5" i="1"/>
  <c r="E5" i="1"/>
  <c r="K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E4" i="1"/>
  <c r="A4" i="1"/>
  <c r="A5" i="1" s="1"/>
  <c r="A6" i="1" s="1"/>
  <c r="A7" i="1" s="1"/>
  <c r="A8" i="1" s="1"/>
  <c r="A16" i="1" s="1"/>
  <c r="A17" i="1" s="1"/>
  <c r="A18" i="1" s="1"/>
  <c r="A19" i="1" s="1"/>
  <c r="A20" i="1" s="1"/>
  <c r="A21" i="1" s="1"/>
  <c r="A22" i="1" s="1"/>
  <c r="A23" i="1" s="1"/>
  <c r="A24" i="1" s="1"/>
  <c r="K3" i="1"/>
  <c r="E3" i="1"/>
  <c r="M42" i="3" l="1"/>
  <c r="N24" i="3"/>
  <c r="K24" i="1"/>
  <c r="K41" i="1"/>
  <c r="E24" i="1"/>
  <c r="O2" i="3"/>
  <c r="K24" i="2"/>
  <c r="E24" i="2"/>
  <c r="A37" i="2"/>
  <c r="A38" i="2" s="1"/>
  <c r="A39" i="2"/>
  <c r="A40" i="2" s="1"/>
  <c r="A41" i="2" s="1"/>
  <c r="A39" i="1"/>
  <c r="A40" i="1" s="1"/>
  <c r="A41" i="1" s="1"/>
  <c r="A37" i="1"/>
  <c r="A38" i="1" s="1"/>
  <c r="K42" i="1" l="1"/>
  <c r="M2" i="1"/>
  <c r="C41" i="1"/>
  <c r="C48" i="2"/>
  <c r="M2" i="2"/>
</calcChain>
</file>

<file path=xl/sharedStrings.xml><?xml version="1.0" encoding="utf-8"?>
<sst xmlns="http://schemas.openxmlformats.org/spreadsheetml/2006/main" count="532" uniqueCount="215">
  <si>
    <t>Estimacion Inicial Mano de Obra</t>
  </si>
  <si>
    <t>Estimacion Inicial Material</t>
  </si>
  <si>
    <t>Total Estimacion</t>
  </si>
  <si>
    <t>Item</t>
  </si>
  <si>
    <t>Descripcion</t>
  </si>
  <si>
    <t>Cantidad</t>
  </si>
  <si>
    <t>Precio Unit</t>
  </si>
  <si>
    <t>Subtotal</t>
  </si>
  <si>
    <t>5 columnas</t>
  </si>
  <si>
    <t>16 fierro 1/2</t>
  </si>
  <si>
    <t>2.5 millares de ladrillo</t>
  </si>
  <si>
    <t>18 fierro 5/8</t>
  </si>
  <si>
    <t>32 mt techo</t>
  </si>
  <si>
    <t>18 fierro 3/8</t>
  </si>
  <si>
    <t>21 mt viga</t>
  </si>
  <si>
    <t>5 k clavos</t>
  </si>
  <si>
    <t>tarrajeo adicionales</t>
  </si>
  <si>
    <t>68 cemento rojo</t>
  </si>
  <si>
    <t>1.5 mil ladrillo 18 huecos</t>
  </si>
  <si>
    <t>2 vol. Arena gruesa</t>
  </si>
  <si>
    <t>1 vol. Piedra 1/2</t>
  </si>
  <si>
    <t>1 maquina tolva</t>
  </si>
  <si>
    <t>190 ladrillo techo 12x30</t>
  </si>
  <si>
    <t>1 mil ladrillo pandereta</t>
  </si>
  <si>
    <t>Total 2° Piso</t>
  </si>
  <si>
    <t>Total</t>
  </si>
  <si>
    <t>Pagos Realizados Mano de Obra</t>
  </si>
  <si>
    <t>Material Entregado a la Fecha</t>
  </si>
  <si>
    <t>Monto</t>
  </si>
  <si>
    <t>Fecha</t>
  </si>
  <si>
    <t>Material</t>
  </si>
  <si>
    <t>P.U</t>
  </si>
  <si>
    <t>SubTotal</t>
  </si>
  <si>
    <t>Proveedor</t>
  </si>
  <si>
    <t>Pagado</t>
  </si>
  <si>
    <t>1.5 mil ladrillos</t>
  </si>
  <si>
    <t>10 mochica rojo</t>
  </si>
  <si>
    <t>4 columnas enfierrado</t>
  </si>
  <si>
    <t>adelanto chamito</t>
  </si>
  <si>
    <t>adelanto chamo</t>
  </si>
  <si>
    <t>1 vol. Arena gruesa</t>
  </si>
  <si>
    <t>disco</t>
  </si>
  <si>
    <t>1 mil ladrillos</t>
  </si>
  <si>
    <t>5 columnas llenadas</t>
  </si>
  <si>
    <t>3 fierros de 1/2</t>
  </si>
  <si>
    <t>adelanto 15°</t>
  </si>
  <si>
    <t>1/2 vol. Arena gruesa</t>
  </si>
  <si>
    <t>disco fierro,disco cer, disco 14</t>
  </si>
  <si>
    <t>tripley</t>
  </si>
  <si>
    <t>pago 15°</t>
  </si>
  <si>
    <t>Pagado a la Fecha</t>
  </si>
  <si>
    <t>Total Pendiente</t>
  </si>
  <si>
    <t>rompida 8 columnas</t>
  </si>
  <si>
    <t>Total 3° Piso</t>
  </si>
  <si>
    <t>fierro 5/8</t>
  </si>
  <si>
    <t>fierro 1/2</t>
  </si>
  <si>
    <t>fierro 3/8</t>
  </si>
  <si>
    <t>fierro 1/4</t>
  </si>
  <si>
    <t>alambre 16</t>
  </si>
  <si>
    <t>clavos</t>
  </si>
  <si>
    <t>alambre 8</t>
  </si>
  <si>
    <t>ladrillo techo</t>
  </si>
  <si>
    <t>ladrillo 18 huecos</t>
  </si>
  <si>
    <t>ladrillo pandereta</t>
  </si>
  <si>
    <t>cemento rojo</t>
  </si>
  <si>
    <t>volquete de arena gruesa</t>
  </si>
  <si>
    <t>volquete de piedra 1/2</t>
  </si>
  <si>
    <t>cajas de luz exagonal</t>
  </si>
  <si>
    <t>tubos de luz</t>
  </si>
  <si>
    <t>codos de luz</t>
  </si>
  <si>
    <t>techo mt</t>
  </si>
  <si>
    <t>viga mt</t>
  </si>
  <si>
    <t>columnas</t>
  </si>
  <si>
    <t>ladrillos millar</t>
  </si>
  <si>
    <t>viga p. mt</t>
  </si>
  <si>
    <t>cielo razo mt</t>
  </si>
  <si>
    <t>pared mt</t>
  </si>
  <si>
    <t>contrapiso mt</t>
  </si>
  <si>
    <t>zocalo mt</t>
  </si>
  <si>
    <t>antes</t>
  </si>
  <si>
    <t>ahora</t>
  </si>
  <si>
    <t>otro</t>
  </si>
  <si>
    <t>Pago</t>
  </si>
  <si>
    <t>adelanto 100</t>
  </si>
  <si>
    <t>pago 1 semana</t>
  </si>
  <si>
    <t>pago 2 semana</t>
  </si>
  <si>
    <t>pago instalacion baño</t>
  </si>
  <si>
    <t>adelanto semana 3</t>
  </si>
  <si>
    <t>pago semana 4</t>
  </si>
  <si>
    <t>adelanto sem 2 300</t>
  </si>
  <si>
    <t>pago semana 5</t>
  </si>
  <si>
    <t>chelas hugo</t>
  </si>
  <si>
    <t>shampo</t>
  </si>
  <si>
    <t>pintada</t>
  </si>
  <si>
    <t>broca</t>
  </si>
  <si>
    <t>envases</t>
  </si>
  <si>
    <t>dc</t>
  </si>
  <si>
    <t>adelanto techo</t>
  </si>
  <si>
    <t>1/2 cj chela</t>
  </si>
  <si>
    <t>caja medidor</t>
  </si>
  <si>
    <t>caja de 1 llave termica</t>
  </si>
  <si>
    <t>1/2 volquetada arena fina</t>
  </si>
  <si>
    <t>1/2 volquetada arena gruesa</t>
  </si>
  <si>
    <t>cajas de luz rectangular</t>
  </si>
  <si>
    <t>500 ladrillo inkaforte</t>
  </si>
  <si>
    <t>adelanto hugo</t>
  </si>
  <si>
    <t>asentar ladrillo ad</t>
  </si>
  <si>
    <t>armar columnetas ad</t>
  </si>
  <si>
    <t>tarrajeo ad</t>
  </si>
  <si>
    <t>adelanto pago</t>
  </si>
  <si>
    <t>inca kola 3L</t>
  </si>
  <si>
    <t>inca kola 2L</t>
  </si>
  <si>
    <t>adelanto</t>
  </si>
  <si>
    <t>4 chelas</t>
  </si>
  <si>
    <t>ver pago china</t>
  </si>
  <si>
    <t>y gaseosa</t>
  </si>
  <si>
    <t>pago hugo 100 mt par, 45 mt techo</t>
  </si>
  <si>
    <t>pared</t>
  </si>
  <si>
    <t>viga</t>
  </si>
  <si>
    <t>pago hugo 55 mt pared, 5 columnas, 20 mt viga</t>
  </si>
  <si>
    <t>gaseosa</t>
  </si>
  <si>
    <t>2 chelas</t>
  </si>
  <si>
    <t>bim adelanto 293+3</t>
  </si>
  <si>
    <t>adelanto pago 2</t>
  </si>
  <si>
    <t>pago hugo 28 mt pared, 4 columnas, 15 mt viga</t>
  </si>
  <si>
    <t>sin parar</t>
  </si>
  <si>
    <t>pepsi 3L</t>
  </si>
  <si>
    <t>coca 2L</t>
  </si>
  <si>
    <t>40 mt contrapiso</t>
  </si>
  <si>
    <t>pago hugo 40 mt contrapiso, 5 columnas (solo armado)</t>
  </si>
  <si>
    <t>hugo debe 100</t>
  </si>
  <si>
    <t>coca 1L</t>
  </si>
  <si>
    <t xml:space="preserve">gaseosa 1 </t>
  </si>
  <si>
    <t>gaseosa 2</t>
  </si>
  <si>
    <t>500 ladrillo</t>
  </si>
  <si>
    <t>4 columas llenadas</t>
  </si>
  <si>
    <t>10 mt tragaluz</t>
  </si>
  <si>
    <t>15 mt ducto</t>
  </si>
  <si>
    <t>4 rompida columnas</t>
  </si>
  <si>
    <t>hugo debe 200</t>
  </si>
  <si>
    <t>5 fierro 5/8</t>
  </si>
  <si>
    <t>3 f. 1/2</t>
  </si>
  <si>
    <t>5 f. 3/8</t>
  </si>
  <si>
    <t>4 kg alambre 16</t>
  </si>
  <si>
    <t>20 cementos</t>
  </si>
  <si>
    <t>10 carretillas arena</t>
  </si>
  <si>
    <t>mano obra</t>
  </si>
  <si>
    <t xml:space="preserve">2 columnas </t>
  </si>
  <si>
    <t>7 mt viga</t>
  </si>
  <si>
    <t>12 mt tarrajeo</t>
  </si>
  <si>
    <t>tarrajeo traga grande</t>
  </si>
  <si>
    <t>130 ladri pandereta</t>
  </si>
  <si>
    <t>6 trujillos y vaso</t>
  </si>
  <si>
    <t>500 asen ladr, 15 mt ducto, 10 mt tarr traga bañ, 4 colum llenada, 4 rompida columna</t>
  </si>
  <si>
    <t>adelanto bim</t>
  </si>
  <si>
    <t>materiales</t>
  </si>
  <si>
    <t>adelanto 800</t>
  </si>
  <si>
    <t>ceram piso mt2 final</t>
  </si>
  <si>
    <t xml:space="preserve">baños </t>
  </si>
  <si>
    <t>3 accesorios baño</t>
  </si>
  <si>
    <t>3 lavaderos cuarto</t>
  </si>
  <si>
    <t>chamo</t>
  </si>
  <si>
    <t>yape</t>
  </si>
  <si>
    <t>21 chelas</t>
  </si>
  <si>
    <t>3 trigos</t>
  </si>
  <si>
    <t>14 chelas</t>
  </si>
  <si>
    <t>50 pts</t>
  </si>
  <si>
    <t>2  rollos 14</t>
  </si>
  <si>
    <t>2 rollos 12</t>
  </si>
  <si>
    <t>1 rollo 12 tierra</t>
  </si>
  <si>
    <t>40 tomas e interrup</t>
  </si>
  <si>
    <t>10 focos</t>
  </si>
  <si>
    <t>3 medidores</t>
  </si>
  <si>
    <t>4 llaves termincas</t>
  </si>
  <si>
    <t>2 gaseosasa</t>
  </si>
  <si>
    <t>falta considerar materiales</t>
  </si>
  <si>
    <t>ceramica</t>
  </si>
  <si>
    <t>techito</t>
  </si>
  <si>
    <t>si termina todo</t>
  </si>
  <si>
    <t>adelanto 70</t>
  </si>
  <si>
    <t>adelanto 150</t>
  </si>
  <si>
    <t>adelanto 300</t>
  </si>
  <si>
    <t>china descuento 200</t>
  </si>
  <si>
    <t>900 ladrillos</t>
  </si>
  <si>
    <t>ladrillo 600</t>
  </si>
  <si>
    <t>20 mt tarrajeo</t>
  </si>
  <si>
    <t>llenada de baño</t>
  </si>
  <si>
    <t>pago hugo</t>
  </si>
  <si>
    <t>100 de ceramica</t>
  </si>
  <si>
    <t>ladrillos 285</t>
  </si>
  <si>
    <t>botada columna</t>
  </si>
  <si>
    <t>obra al 20/4</t>
  </si>
  <si>
    <t>columna hecha y llenada 150</t>
  </si>
  <si>
    <t>picada</t>
  </si>
  <si>
    <t>solo debo 100</t>
  </si>
  <si>
    <t>debe 50</t>
  </si>
  <si>
    <t>obra al 13/4</t>
  </si>
  <si>
    <t>cuarto 1 cer m2</t>
  </si>
  <si>
    <t>pasadizo cer m2</t>
  </si>
  <si>
    <t>cuarto 2 cer m2</t>
  </si>
  <si>
    <t>cuarto 3 cer m2</t>
  </si>
  <si>
    <t>20 pegamentos</t>
  </si>
  <si>
    <t>6 carr arena fina</t>
  </si>
  <si>
    <t>5 cementos</t>
  </si>
  <si>
    <t>fragua y acc. 3 Baños</t>
  </si>
  <si>
    <t>baños</t>
  </si>
  <si>
    <t>espejos</t>
  </si>
  <si>
    <t>tarrajeo</t>
  </si>
  <si>
    <t>resanes</t>
  </si>
  <si>
    <t>socalos cuarto y pasadizo ML</t>
  </si>
  <si>
    <t>contrapiso</t>
  </si>
  <si>
    <t>resanes m lineal</t>
  </si>
  <si>
    <t>tarr columnas</t>
  </si>
  <si>
    <t>10 pegamentos</t>
  </si>
  <si>
    <t>pago total al 9-8-25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</si>
</sst>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&quot;\ #,##0"/>
    <numFmt numFmtId="165" formatCode="&quot;S/&quot;\ #,##0.0"/>
    <numFmt numFmtId="166" formatCode="d\.m"/>
    <numFmt numFmtId="167" formatCode="&quot;S/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3" xfId="0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64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3" xfId="0" applyFont="1" applyBorder="1"/>
    <xf numFmtId="0" fontId="5" fillId="0" borderId="3" xfId="0" applyFont="1" applyBorder="1"/>
    <xf numFmtId="166" fontId="5" fillId="0" borderId="0" xfId="0" applyNumberFormat="1" applyFont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1" fillId="2" borderId="4" xfId="0" applyFont="1" applyFill="1" applyBorder="1" applyAlignment="1">
      <alignment horizontal="center"/>
    </xf>
    <xf numFmtId="14" fontId="4" fillId="0" borderId="3" xfId="0" applyNumberFormat="1" applyFont="1" applyBorder="1" applyAlignment="1">
      <alignment horizontal="left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/>
    <xf numFmtId="165" fontId="4" fillId="0" borderId="4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4" fontId="6" fillId="0" borderId="3" xfId="0" applyNumberFormat="1" applyFont="1" applyBorder="1"/>
    <xf numFmtId="0" fontId="1" fillId="2" borderId="7" xfId="0" applyFont="1" applyFill="1" applyBorder="1" applyAlignment="1">
      <alignment horizontal="center"/>
    </xf>
    <xf numFmtId="0" fontId="7" fillId="0" borderId="3" xfId="0" applyFont="1" applyBorder="1"/>
    <xf numFmtId="0" fontId="1" fillId="2" borderId="6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164" fontId="4" fillId="0" borderId="4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164" fontId="4" fillId="0" borderId="9" xfId="0" applyNumberFormat="1" applyFont="1" applyBorder="1" applyAlignment="1">
      <alignment horizontal="center"/>
    </xf>
    <xf numFmtId="0" fontId="0" fillId="0" borderId="9" xfId="0" applyBorder="1"/>
    <xf numFmtId="0" fontId="5" fillId="0" borderId="9" xfId="0" applyFont="1" applyBorder="1"/>
    <xf numFmtId="0" fontId="2" fillId="0" borderId="2" xfId="0" applyFont="1" applyBorder="1"/>
    <xf numFmtId="164" fontId="3" fillId="0" borderId="0" xfId="0" applyNumberFormat="1" applyFont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0" xfId="0" applyBorder="1"/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9" xfId="0" applyFont="1" applyBorder="1"/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164" fontId="0" fillId="0" borderId="0" xfId="0" applyNumberFormat="1"/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6" fillId="0" borderId="10" xfId="0" applyNumberFormat="1" applyFont="1" applyBorder="1"/>
    <xf numFmtId="14" fontId="4" fillId="0" borderId="13" xfId="0" applyNumberFormat="1" applyFont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8" fillId="0" borderId="0" xfId="0" applyFont="1"/>
    <xf numFmtId="0" fontId="3" fillId="0" borderId="3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8" fillId="0" borderId="9" xfId="0" applyFont="1" applyBorder="1"/>
    <xf numFmtId="165" fontId="4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4" fontId="8" fillId="0" borderId="9" xfId="0" applyNumberFormat="1" applyFont="1" applyBorder="1"/>
    <xf numFmtId="164" fontId="8" fillId="0" borderId="0" xfId="0" applyNumberFormat="1" applyFont="1"/>
    <xf numFmtId="0" fontId="3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4" fillId="0" borderId="0" xfId="0" applyFont="1"/>
    <xf numFmtId="164" fontId="4" fillId="0" borderId="3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4D9-E582-4D9B-8911-29FBF70D87BC}">
  <dimension ref="A1:O1002"/>
  <sheetViews>
    <sheetView zoomScale="85" zoomScaleNormal="85" workbookViewId="0">
      <selection activeCell="S30" sqref="S30"/>
    </sheetView>
  </sheetViews>
  <sheetFormatPr baseColWidth="10" defaultColWidth="14" defaultRowHeight="14.4" x14ac:dyDescent="0.3"/>
  <cols>
    <col min="1" max="1" width="5.44140625" customWidth="1"/>
    <col min="2" max="2" width="29" bestFit="1" customWidth="1"/>
    <col min="3" max="3" width="11.6640625" customWidth="1"/>
    <col min="4" max="4" width="12.6640625" customWidth="1"/>
    <col min="5" max="5" width="11.6640625" customWidth="1"/>
    <col min="6" max="6" width="5.33203125" customWidth="1"/>
    <col min="7" max="7" width="5" customWidth="1"/>
    <col min="8" max="8" width="27.33203125" customWidth="1"/>
    <col min="9" max="9" width="8.88671875" customWidth="1"/>
    <col min="10" max="10" width="10.6640625" customWidth="1"/>
    <col min="11" max="11" width="13" customWidth="1"/>
    <col min="12" max="12" width="11.6640625" customWidth="1"/>
    <col min="13" max="13" width="17.33203125" customWidth="1"/>
    <col min="14" max="14" width="7.6640625" customWidth="1"/>
    <col min="15" max="26" width="11.6640625" customWidth="1"/>
  </cols>
  <sheetData>
    <row r="1" spans="1:15" ht="14.25" customHeight="1" x14ac:dyDescent="0.3">
      <c r="A1" s="69" t="s">
        <v>0</v>
      </c>
      <c r="B1" s="70"/>
      <c r="C1" s="70"/>
      <c r="D1" s="70"/>
      <c r="E1" s="70"/>
      <c r="G1" s="69" t="s">
        <v>1</v>
      </c>
      <c r="H1" s="70"/>
      <c r="I1" s="70"/>
      <c r="J1" s="70"/>
      <c r="K1" s="70"/>
      <c r="M1" s="1" t="s">
        <v>2</v>
      </c>
    </row>
    <row r="2" spans="1:15" ht="14.25" customHeigh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2">
        <f>E24+K24</f>
        <v>12177.7</v>
      </c>
    </row>
    <row r="3" spans="1:15" ht="14.25" customHeight="1" x14ac:dyDescent="0.3">
      <c r="A3" s="3">
        <v>1</v>
      </c>
      <c r="B3" s="4" t="s">
        <v>8</v>
      </c>
      <c r="C3" s="4">
        <v>5</v>
      </c>
      <c r="D3" s="5">
        <v>130</v>
      </c>
      <c r="E3" s="5">
        <f t="shared" ref="E3:E6" si="0">C3*D3</f>
        <v>650</v>
      </c>
      <c r="G3" s="3">
        <v>1</v>
      </c>
      <c r="H3" s="4" t="s">
        <v>9</v>
      </c>
      <c r="I3" s="4">
        <v>14</v>
      </c>
      <c r="J3" s="6">
        <v>38.5</v>
      </c>
      <c r="K3" s="5">
        <f t="shared" ref="K3:K15" si="1">I3*J3</f>
        <v>539</v>
      </c>
    </row>
    <row r="4" spans="1:15" ht="14.25" customHeight="1" x14ac:dyDescent="0.3">
      <c r="A4" s="3">
        <f t="shared" ref="A4:A8" si="2">A3+1</f>
        <v>2</v>
      </c>
      <c r="B4" s="4" t="s">
        <v>10</v>
      </c>
      <c r="C4" s="4">
        <v>2.5</v>
      </c>
      <c r="D4" s="5">
        <v>470</v>
      </c>
      <c r="E4" s="5">
        <f t="shared" si="0"/>
        <v>1175</v>
      </c>
      <c r="G4" s="3">
        <f t="shared" ref="G4:G24" si="3">G3+1</f>
        <v>2</v>
      </c>
      <c r="H4" s="4" t="s">
        <v>11</v>
      </c>
      <c r="I4" s="4">
        <v>14</v>
      </c>
      <c r="J4" s="6">
        <v>59</v>
      </c>
      <c r="K4" s="5">
        <f t="shared" si="1"/>
        <v>826</v>
      </c>
    </row>
    <row r="5" spans="1:15" ht="14.25" customHeight="1" x14ac:dyDescent="0.3">
      <c r="A5" s="7">
        <f t="shared" si="2"/>
        <v>3</v>
      </c>
      <c r="B5" s="8" t="s">
        <v>12</v>
      </c>
      <c r="C5" s="8">
        <v>32</v>
      </c>
      <c r="D5" s="2">
        <v>55</v>
      </c>
      <c r="E5" s="2">
        <f t="shared" si="0"/>
        <v>1760</v>
      </c>
      <c r="G5" s="3">
        <f t="shared" si="3"/>
        <v>3</v>
      </c>
      <c r="H5" s="4" t="s">
        <v>13</v>
      </c>
      <c r="I5" s="4">
        <v>14</v>
      </c>
      <c r="J5" s="6">
        <v>21.8</v>
      </c>
      <c r="K5" s="5">
        <f t="shared" si="1"/>
        <v>305.2</v>
      </c>
    </row>
    <row r="6" spans="1:15" ht="14.25" customHeight="1" x14ac:dyDescent="0.3">
      <c r="A6" s="3">
        <f t="shared" si="2"/>
        <v>4</v>
      </c>
      <c r="B6" s="8" t="s">
        <v>14</v>
      </c>
      <c r="C6" s="8">
        <v>21</v>
      </c>
      <c r="D6" s="2">
        <v>55</v>
      </c>
      <c r="E6" s="2">
        <f t="shared" si="0"/>
        <v>1155</v>
      </c>
      <c r="G6" s="3">
        <f t="shared" si="3"/>
        <v>4</v>
      </c>
      <c r="H6" s="4" t="s">
        <v>15</v>
      </c>
      <c r="I6" s="4">
        <v>5</v>
      </c>
      <c r="J6" s="6">
        <v>6.5</v>
      </c>
      <c r="K6" s="5">
        <f t="shared" si="1"/>
        <v>32.5</v>
      </c>
    </row>
    <row r="7" spans="1:15" ht="14.25" customHeight="1" x14ac:dyDescent="0.3">
      <c r="A7" s="3">
        <f t="shared" si="2"/>
        <v>5</v>
      </c>
      <c r="B7" s="4" t="s">
        <v>16</v>
      </c>
      <c r="C7" s="4">
        <v>1</v>
      </c>
      <c r="D7" s="5">
        <v>520</v>
      </c>
      <c r="E7" s="5">
        <v>520</v>
      </c>
      <c r="G7" s="3">
        <f t="shared" si="3"/>
        <v>5</v>
      </c>
      <c r="H7" s="4" t="s">
        <v>17</v>
      </c>
      <c r="I7" s="4">
        <v>68</v>
      </c>
      <c r="J7" s="6">
        <v>25</v>
      </c>
      <c r="K7" s="5">
        <f t="shared" si="1"/>
        <v>1700</v>
      </c>
    </row>
    <row r="8" spans="1:15" ht="14.25" customHeight="1" x14ac:dyDescent="0.3">
      <c r="A8" s="3">
        <f t="shared" si="2"/>
        <v>6</v>
      </c>
      <c r="B8" s="9"/>
      <c r="C8" s="9"/>
      <c r="D8" s="9"/>
      <c r="E8" s="9"/>
      <c r="G8" s="3">
        <f t="shared" si="3"/>
        <v>6</v>
      </c>
      <c r="H8" s="4" t="s">
        <v>18</v>
      </c>
      <c r="I8" s="4">
        <v>1.5</v>
      </c>
      <c r="J8" s="5">
        <v>1050</v>
      </c>
      <c r="K8" s="5">
        <f t="shared" si="1"/>
        <v>1575</v>
      </c>
      <c r="M8" s="10"/>
    </row>
    <row r="9" spans="1:15" ht="14.25" customHeight="1" x14ac:dyDescent="0.3">
      <c r="A9" s="3"/>
      <c r="B9" s="9"/>
      <c r="C9" s="9"/>
      <c r="D9" s="9"/>
      <c r="E9" s="9"/>
      <c r="G9" s="3">
        <f t="shared" si="3"/>
        <v>7</v>
      </c>
      <c r="H9" s="4" t="s">
        <v>19</v>
      </c>
      <c r="I9" s="4">
        <v>2</v>
      </c>
      <c r="J9" s="6">
        <v>170</v>
      </c>
      <c r="K9" s="5">
        <f t="shared" si="1"/>
        <v>340</v>
      </c>
      <c r="O9" s="10"/>
    </row>
    <row r="10" spans="1:15" ht="14.25" customHeight="1" x14ac:dyDescent="0.3">
      <c r="A10" s="11"/>
      <c r="B10" s="4"/>
      <c r="C10" s="4"/>
      <c r="D10" s="5"/>
      <c r="E10" s="5"/>
      <c r="G10" s="3">
        <f t="shared" si="3"/>
        <v>8</v>
      </c>
      <c r="H10" s="4" t="s">
        <v>20</v>
      </c>
      <c r="I10" s="4">
        <v>1</v>
      </c>
      <c r="J10" s="6">
        <v>310</v>
      </c>
      <c r="K10" s="5">
        <f t="shared" si="1"/>
        <v>310</v>
      </c>
    </row>
    <row r="11" spans="1:15" ht="14.25" customHeight="1" x14ac:dyDescent="0.3">
      <c r="A11" s="3"/>
      <c r="B11" s="4"/>
      <c r="C11" s="4"/>
      <c r="D11" s="5"/>
      <c r="E11" s="5"/>
      <c r="G11" s="3">
        <f t="shared" si="3"/>
        <v>9</v>
      </c>
      <c r="H11" s="4" t="s">
        <v>21</v>
      </c>
      <c r="I11" s="4">
        <v>0</v>
      </c>
      <c r="J11" s="6">
        <v>300</v>
      </c>
      <c r="K11" s="5">
        <f t="shared" si="1"/>
        <v>0</v>
      </c>
    </row>
    <row r="12" spans="1:15" ht="14.25" customHeight="1" x14ac:dyDescent="0.3">
      <c r="A12" s="3"/>
      <c r="B12" s="4"/>
      <c r="C12" s="4"/>
      <c r="D12" s="5"/>
      <c r="E12" s="5"/>
      <c r="G12" s="3">
        <f t="shared" si="3"/>
        <v>10</v>
      </c>
      <c r="H12" s="4" t="s">
        <v>22</v>
      </c>
      <c r="I12" s="4">
        <v>190</v>
      </c>
      <c r="J12" s="6">
        <v>3</v>
      </c>
      <c r="K12" s="5">
        <f t="shared" si="1"/>
        <v>570</v>
      </c>
    </row>
    <row r="13" spans="1:15" ht="14.25" customHeight="1" x14ac:dyDescent="0.3">
      <c r="A13" s="3"/>
      <c r="B13" s="4"/>
      <c r="C13" s="4"/>
      <c r="D13" s="5"/>
      <c r="E13" s="5"/>
      <c r="G13" s="3">
        <f t="shared" si="3"/>
        <v>11</v>
      </c>
      <c r="H13" s="4" t="s">
        <v>23</v>
      </c>
      <c r="I13" s="4">
        <v>1</v>
      </c>
      <c r="J13" s="5">
        <v>720</v>
      </c>
      <c r="K13" s="5">
        <f t="shared" si="1"/>
        <v>720</v>
      </c>
    </row>
    <row r="14" spans="1:15" ht="14.25" customHeight="1" x14ac:dyDescent="0.3">
      <c r="A14" s="3"/>
      <c r="B14" s="4"/>
      <c r="C14" s="4"/>
      <c r="D14" s="5"/>
      <c r="E14" s="5"/>
      <c r="G14" s="3">
        <f t="shared" si="3"/>
        <v>12</v>
      </c>
      <c r="H14" s="4"/>
      <c r="I14" s="4"/>
      <c r="J14" s="6"/>
      <c r="K14" s="5">
        <f t="shared" si="1"/>
        <v>0</v>
      </c>
    </row>
    <row r="15" spans="1:15" ht="14.25" customHeight="1" x14ac:dyDescent="0.3">
      <c r="A15" s="3"/>
      <c r="B15" s="4"/>
      <c r="C15" s="4"/>
      <c r="D15" s="5"/>
      <c r="E15" s="5"/>
      <c r="G15" s="3">
        <f t="shared" si="3"/>
        <v>13</v>
      </c>
      <c r="H15" s="4"/>
      <c r="I15" s="4"/>
      <c r="J15" s="5"/>
      <c r="K15" s="5">
        <f t="shared" si="1"/>
        <v>0</v>
      </c>
    </row>
    <row r="16" spans="1:15" ht="14.25" customHeight="1" x14ac:dyDescent="0.3">
      <c r="A16" s="3">
        <f>A8+1</f>
        <v>7</v>
      </c>
      <c r="B16" s="5"/>
      <c r="C16" s="8"/>
      <c r="D16" s="5"/>
      <c r="E16" s="2"/>
      <c r="G16" s="3">
        <f t="shared" si="3"/>
        <v>14</v>
      </c>
      <c r="H16" s="4"/>
      <c r="I16" s="8"/>
      <c r="J16" s="5"/>
      <c r="K16" s="2"/>
    </row>
    <row r="17" spans="1:14" ht="14.25" customHeight="1" x14ac:dyDescent="0.3">
      <c r="A17" s="3">
        <f t="shared" ref="A17:A24" si="4">A16+1</f>
        <v>8</v>
      </c>
      <c r="B17" s="4"/>
      <c r="C17" s="4"/>
      <c r="D17" s="5"/>
      <c r="E17" s="5"/>
      <c r="G17" s="3">
        <f t="shared" si="3"/>
        <v>15</v>
      </c>
      <c r="H17" s="4"/>
      <c r="I17" s="4"/>
      <c r="J17" s="5"/>
      <c r="K17" s="5"/>
    </row>
    <row r="18" spans="1:14" ht="14.25" customHeight="1" x14ac:dyDescent="0.3">
      <c r="A18" s="3">
        <f t="shared" si="4"/>
        <v>9</v>
      </c>
      <c r="B18" s="4"/>
      <c r="C18" s="4"/>
      <c r="D18" s="5"/>
      <c r="E18" s="5"/>
      <c r="G18" s="3">
        <f t="shared" si="3"/>
        <v>16</v>
      </c>
      <c r="H18" s="4"/>
      <c r="I18" s="4"/>
      <c r="J18" s="5"/>
      <c r="K18" s="5"/>
    </row>
    <row r="19" spans="1:14" ht="14.25" customHeight="1" x14ac:dyDescent="0.3">
      <c r="A19" s="3">
        <f t="shared" si="4"/>
        <v>10</v>
      </c>
      <c r="B19" s="4"/>
      <c r="C19" s="4"/>
      <c r="D19" s="5"/>
      <c r="E19" s="5"/>
      <c r="G19" s="3">
        <f t="shared" si="3"/>
        <v>17</v>
      </c>
      <c r="H19" s="4"/>
      <c r="I19" s="4"/>
      <c r="J19" s="5"/>
      <c r="K19" s="5"/>
    </row>
    <row r="20" spans="1:14" ht="14.25" customHeight="1" x14ac:dyDescent="0.3">
      <c r="A20" s="3">
        <f t="shared" si="4"/>
        <v>11</v>
      </c>
      <c r="B20" s="4"/>
      <c r="C20" s="4"/>
      <c r="D20" s="5"/>
      <c r="E20" s="5"/>
      <c r="G20" s="3">
        <f t="shared" si="3"/>
        <v>18</v>
      </c>
      <c r="H20" s="4"/>
      <c r="I20" s="12"/>
      <c r="J20" s="5"/>
      <c r="K20" s="5"/>
    </row>
    <row r="21" spans="1:14" ht="14.25" customHeight="1" x14ac:dyDescent="0.3">
      <c r="A21" s="3">
        <f t="shared" si="4"/>
        <v>12</v>
      </c>
      <c r="B21" s="4"/>
      <c r="C21" s="4"/>
      <c r="D21" s="5"/>
      <c r="E21" s="5"/>
      <c r="G21" s="3">
        <f t="shared" si="3"/>
        <v>19</v>
      </c>
      <c r="H21" s="4"/>
      <c r="I21" s="4"/>
      <c r="J21" s="5"/>
      <c r="K21" s="5"/>
    </row>
    <row r="22" spans="1:14" ht="14.25" customHeight="1" x14ac:dyDescent="0.3">
      <c r="A22" s="3">
        <f t="shared" si="4"/>
        <v>13</v>
      </c>
      <c r="B22" s="4"/>
      <c r="C22" s="4"/>
      <c r="D22" s="5"/>
      <c r="E22" s="5"/>
      <c r="G22" s="3">
        <f t="shared" si="3"/>
        <v>20</v>
      </c>
      <c r="H22" s="4"/>
      <c r="I22" s="4"/>
      <c r="J22" s="5"/>
      <c r="K22" s="5"/>
    </row>
    <row r="23" spans="1:14" ht="14.25" customHeight="1" x14ac:dyDescent="0.3">
      <c r="A23" s="3">
        <f t="shared" si="4"/>
        <v>14</v>
      </c>
      <c r="B23" s="1" t="s">
        <v>24</v>
      </c>
      <c r="C23" s="8"/>
      <c r="D23" s="5"/>
      <c r="E23" s="2"/>
      <c r="G23" s="3">
        <f t="shared" si="3"/>
        <v>21</v>
      </c>
      <c r="H23" s="1" t="s">
        <v>24</v>
      </c>
      <c r="I23" s="8"/>
      <c r="J23" s="5"/>
      <c r="K23" s="2"/>
    </row>
    <row r="24" spans="1:14" ht="14.25" customHeight="1" x14ac:dyDescent="0.3">
      <c r="A24" s="3">
        <f t="shared" si="4"/>
        <v>15</v>
      </c>
      <c r="B24" s="1" t="s">
        <v>25</v>
      </c>
      <c r="C24" s="4"/>
      <c r="D24" s="5"/>
      <c r="E24" s="2">
        <f>SUM(E3:E23)</f>
        <v>5260</v>
      </c>
      <c r="G24" s="3">
        <f t="shared" si="3"/>
        <v>22</v>
      </c>
      <c r="H24" s="1" t="s">
        <v>25</v>
      </c>
      <c r="I24" s="4"/>
      <c r="J24" s="5"/>
      <c r="K24" s="2">
        <f>SUM(K3:K23)</f>
        <v>6917.7</v>
      </c>
    </row>
    <row r="25" spans="1:14" ht="14.25" customHeight="1" x14ac:dyDescent="0.3"/>
    <row r="26" spans="1:14" ht="14.25" customHeight="1" x14ac:dyDescent="0.3">
      <c r="A26" s="69" t="s">
        <v>26</v>
      </c>
      <c r="B26" s="70"/>
      <c r="C26" s="70"/>
      <c r="D26" s="70"/>
      <c r="G26" s="71" t="s">
        <v>27</v>
      </c>
      <c r="H26" s="70"/>
      <c r="I26" s="70"/>
      <c r="J26" s="70"/>
      <c r="K26" s="70"/>
      <c r="L26" s="70"/>
      <c r="M26" s="70"/>
      <c r="N26" s="70"/>
    </row>
    <row r="27" spans="1:14" ht="14.25" customHeight="1" x14ac:dyDescent="0.3">
      <c r="A27" s="13" t="s">
        <v>3</v>
      </c>
      <c r="B27" s="13" t="s">
        <v>4</v>
      </c>
      <c r="C27" s="13" t="s">
        <v>28</v>
      </c>
      <c r="D27" s="13" t="s">
        <v>29</v>
      </c>
      <c r="G27" s="1" t="s">
        <v>3</v>
      </c>
      <c r="H27" s="1" t="s">
        <v>30</v>
      </c>
      <c r="I27" s="1" t="s">
        <v>5</v>
      </c>
      <c r="J27" s="1" t="s">
        <v>31</v>
      </c>
      <c r="K27" s="1" t="s">
        <v>32</v>
      </c>
      <c r="L27" s="1" t="s">
        <v>29</v>
      </c>
      <c r="M27" s="1" t="s">
        <v>33</v>
      </c>
      <c r="N27" s="1" t="s">
        <v>34</v>
      </c>
    </row>
    <row r="28" spans="1:14" ht="14.25" customHeight="1" x14ac:dyDescent="0.3">
      <c r="A28" s="3">
        <v>1</v>
      </c>
      <c r="B28" s="14" t="s">
        <v>35</v>
      </c>
      <c r="C28" s="5">
        <v>710</v>
      </c>
      <c r="D28" s="15"/>
      <c r="G28" s="7">
        <v>1</v>
      </c>
      <c r="H28" s="16" t="s">
        <v>36</v>
      </c>
      <c r="I28" s="16">
        <v>10</v>
      </c>
      <c r="J28" s="17">
        <v>25.5</v>
      </c>
      <c r="K28" s="17">
        <f t="shared" ref="K28:K36" si="5">I28*J28</f>
        <v>255</v>
      </c>
      <c r="L28" s="18"/>
      <c r="M28" s="7"/>
      <c r="N28" s="7"/>
    </row>
    <row r="29" spans="1:14" ht="14.25" customHeight="1" x14ac:dyDescent="0.3">
      <c r="A29" s="3">
        <f t="shared" ref="A29:A38" si="6">A28+1</f>
        <v>2</v>
      </c>
      <c r="B29" s="14" t="s">
        <v>37</v>
      </c>
      <c r="C29" s="5">
        <v>120</v>
      </c>
      <c r="D29" s="15"/>
      <c r="G29" s="3">
        <f t="shared" ref="G29:G36" si="7">G28+1</f>
        <v>2</v>
      </c>
      <c r="H29" s="4" t="s">
        <v>18</v>
      </c>
      <c r="I29" s="4">
        <v>1.5</v>
      </c>
      <c r="J29" s="5">
        <v>1050</v>
      </c>
      <c r="K29" s="5">
        <f t="shared" si="5"/>
        <v>1575</v>
      </c>
      <c r="L29" s="15"/>
      <c r="M29" s="3"/>
      <c r="N29" s="3"/>
    </row>
    <row r="30" spans="1:14" ht="14.25" customHeight="1" x14ac:dyDescent="0.3">
      <c r="A30" s="3">
        <f t="shared" si="6"/>
        <v>3</v>
      </c>
      <c r="B30" s="19" t="s">
        <v>38</v>
      </c>
      <c r="C30" s="5">
        <v>150</v>
      </c>
      <c r="D30" s="15"/>
      <c r="G30" s="3">
        <f t="shared" si="7"/>
        <v>3</v>
      </c>
      <c r="H30" s="4" t="s">
        <v>23</v>
      </c>
      <c r="I30" s="4">
        <v>1</v>
      </c>
      <c r="J30" s="5">
        <v>720</v>
      </c>
      <c r="K30" s="5">
        <f t="shared" si="5"/>
        <v>720</v>
      </c>
      <c r="L30" s="15"/>
      <c r="M30" s="3"/>
      <c r="N30" s="3"/>
    </row>
    <row r="31" spans="1:14" ht="14.25" customHeight="1" x14ac:dyDescent="0.3">
      <c r="A31" s="3">
        <f t="shared" si="6"/>
        <v>4</v>
      </c>
      <c r="B31" s="19" t="s">
        <v>39</v>
      </c>
      <c r="C31" s="5">
        <v>350</v>
      </c>
      <c r="D31" s="15"/>
      <c r="G31" s="3">
        <f t="shared" si="7"/>
        <v>4</v>
      </c>
      <c r="H31" s="4" t="s">
        <v>40</v>
      </c>
      <c r="I31" s="4">
        <v>1</v>
      </c>
      <c r="J31" s="6">
        <v>170</v>
      </c>
      <c r="K31" s="5">
        <f t="shared" si="5"/>
        <v>170</v>
      </c>
      <c r="L31" s="15"/>
      <c r="M31" s="3"/>
      <c r="N31" s="3"/>
    </row>
    <row r="32" spans="1:14" ht="14.25" customHeight="1" x14ac:dyDescent="0.3">
      <c r="A32" s="3">
        <f t="shared" si="6"/>
        <v>5</v>
      </c>
      <c r="B32" s="19" t="s">
        <v>41</v>
      </c>
      <c r="C32" s="5">
        <v>22</v>
      </c>
      <c r="D32" s="15"/>
      <c r="G32" s="3">
        <f t="shared" si="7"/>
        <v>5</v>
      </c>
      <c r="H32" s="4" t="s">
        <v>20</v>
      </c>
      <c r="I32" s="4">
        <v>1</v>
      </c>
      <c r="J32" s="6">
        <v>310</v>
      </c>
      <c r="K32" s="5">
        <f t="shared" si="5"/>
        <v>310</v>
      </c>
      <c r="L32" s="15"/>
      <c r="M32" s="3"/>
      <c r="N32" s="3"/>
    </row>
    <row r="33" spans="1:14" ht="14.25" customHeight="1" x14ac:dyDescent="0.3">
      <c r="A33" s="3">
        <f t="shared" si="6"/>
        <v>6</v>
      </c>
      <c r="B33" s="19" t="s">
        <v>42</v>
      </c>
      <c r="C33" s="5">
        <v>470</v>
      </c>
      <c r="D33" s="15"/>
      <c r="G33" s="3">
        <f t="shared" si="7"/>
        <v>6</v>
      </c>
      <c r="H33" s="4" t="s">
        <v>13</v>
      </c>
      <c r="I33" s="4">
        <v>17</v>
      </c>
      <c r="J33" s="6">
        <v>21.8</v>
      </c>
      <c r="K33" s="5">
        <f t="shared" si="5"/>
        <v>370.6</v>
      </c>
      <c r="L33" s="15"/>
      <c r="M33" s="3"/>
      <c r="N33" s="3"/>
    </row>
    <row r="34" spans="1:14" ht="14.25" customHeight="1" x14ac:dyDescent="0.3">
      <c r="A34" s="3">
        <f t="shared" si="6"/>
        <v>7</v>
      </c>
      <c r="B34" s="19" t="s">
        <v>43</v>
      </c>
      <c r="C34" s="5">
        <v>530</v>
      </c>
      <c r="D34" s="15"/>
      <c r="G34" s="3">
        <f t="shared" si="7"/>
        <v>7</v>
      </c>
      <c r="H34" s="4" t="s">
        <v>44</v>
      </c>
      <c r="I34" s="4">
        <v>3</v>
      </c>
      <c r="J34" s="6">
        <v>38.5</v>
      </c>
      <c r="K34" s="5">
        <f t="shared" si="5"/>
        <v>115.5</v>
      </c>
      <c r="L34" s="15"/>
      <c r="M34" s="3"/>
      <c r="N34" s="3"/>
    </row>
    <row r="35" spans="1:14" ht="14.25" customHeight="1" x14ac:dyDescent="0.3">
      <c r="A35" s="3">
        <f t="shared" si="6"/>
        <v>8</v>
      </c>
      <c r="B35" s="19" t="s">
        <v>45</v>
      </c>
      <c r="C35" s="5">
        <v>400</v>
      </c>
      <c r="D35" s="15"/>
      <c r="G35" s="3">
        <f t="shared" si="7"/>
        <v>8</v>
      </c>
      <c r="H35" s="16" t="s">
        <v>36</v>
      </c>
      <c r="I35" s="16">
        <v>10</v>
      </c>
      <c r="J35" s="17">
        <v>25.5</v>
      </c>
      <c r="K35" s="17">
        <f t="shared" si="5"/>
        <v>255</v>
      </c>
      <c r="L35" s="9"/>
      <c r="M35" s="9"/>
      <c r="N35" s="9"/>
    </row>
    <row r="36" spans="1:14" ht="14.25" customHeight="1" x14ac:dyDescent="0.3">
      <c r="A36" s="3">
        <f t="shared" si="6"/>
        <v>9</v>
      </c>
      <c r="B36" s="19" t="s">
        <v>39</v>
      </c>
      <c r="C36" s="5">
        <v>50</v>
      </c>
      <c r="D36" s="15"/>
      <c r="G36" s="3">
        <f t="shared" si="7"/>
        <v>9</v>
      </c>
      <c r="H36" s="4" t="s">
        <v>46</v>
      </c>
      <c r="I36" s="16">
        <v>1</v>
      </c>
      <c r="J36" s="17">
        <v>100</v>
      </c>
      <c r="K36" s="17">
        <f t="shared" si="5"/>
        <v>100</v>
      </c>
      <c r="L36" s="9"/>
      <c r="M36" s="9"/>
      <c r="N36" s="9"/>
    </row>
    <row r="37" spans="1:14" ht="14.25" customHeight="1" x14ac:dyDescent="0.3">
      <c r="A37" s="3">
        <f t="shared" si="6"/>
        <v>10</v>
      </c>
      <c r="B37" s="19" t="s">
        <v>47</v>
      </c>
      <c r="C37" s="5">
        <v>46</v>
      </c>
      <c r="D37" s="9"/>
      <c r="G37" s="3"/>
      <c r="H37" s="9"/>
      <c r="I37" s="9"/>
      <c r="J37" s="9"/>
      <c r="K37" s="9"/>
      <c r="L37" s="9"/>
      <c r="M37" s="9"/>
      <c r="N37" s="9"/>
    </row>
    <row r="38" spans="1:14" ht="14.25" customHeight="1" x14ac:dyDescent="0.3">
      <c r="A38" s="3">
        <f t="shared" si="6"/>
        <v>11</v>
      </c>
      <c r="B38" s="19" t="s">
        <v>48</v>
      </c>
      <c r="C38" s="5">
        <v>40</v>
      </c>
      <c r="D38" s="9"/>
      <c r="G38" s="3"/>
      <c r="H38" s="9"/>
      <c r="I38" s="9"/>
      <c r="J38" s="9"/>
      <c r="K38" s="9"/>
      <c r="L38" s="9"/>
      <c r="M38" s="9"/>
      <c r="N38" s="9"/>
    </row>
    <row r="39" spans="1:14" ht="14.25" customHeight="1" x14ac:dyDescent="0.3">
      <c r="A39" s="3">
        <f>A36+1</f>
        <v>10</v>
      </c>
      <c r="B39" s="19" t="s">
        <v>49</v>
      </c>
      <c r="C39" s="5">
        <v>2700</v>
      </c>
      <c r="D39" s="20">
        <v>44724</v>
      </c>
      <c r="G39" s="3">
        <f>G36+1</f>
        <v>10</v>
      </c>
      <c r="H39" s="9"/>
      <c r="I39" s="9"/>
      <c r="J39" s="9"/>
      <c r="K39" s="9"/>
      <c r="L39" s="9"/>
      <c r="M39" s="9"/>
      <c r="N39" s="9"/>
    </row>
    <row r="40" spans="1:14" ht="14.25" customHeight="1" x14ac:dyDescent="0.3">
      <c r="A40" s="3">
        <f t="shared" ref="A40:A41" si="8">A39+1</f>
        <v>11</v>
      </c>
      <c r="B40" s="21" t="s">
        <v>50</v>
      </c>
      <c r="C40" s="2">
        <f>SUM(C28:C39)</f>
        <v>5588</v>
      </c>
      <c r="D40" s="4"/>
      <c r="G40" s="3">
        <f t="shared" ref="G40:G41" si="9">G39+1</f>
        <v>11</v>
      </c>
      <c r="H40" s="9"/>
      <c r="I40" s="9"/>
      <c r="J40" s="9"/>
      <c r="K40" s="9"/>
      <c r="L40" s="9"/>
      <c r="M40" s="9"/>
      <c r="N40" s="9"/>
    </row>
    <row r="41" spans="1:14" ht="14.25" customHeight="1" x14ac:dyDescent="0.3">
      <c r="A41" s="3">
        <f t="shared" si="8"/>
        <v>12</v>
      </c>
      <c r="B41" s="21" t="s">
        <v>51</v>
      </c>
      <c r="C41" s="2">
        <f>E24-C40</f>
        <v>-328</v>
      </c>
      <c r="D41" s="9"/>
      <c r="G41" s="3">
        <f t="shared" si="9"/>
        <v>12</v>
      </c>
      <c r="H41" s="1" t="s">
        <v>50</v>
      </c>
      <c r="I41" s="4"/>
      <c r="J41" s="5"/>
      <c r="K41" s="2">
        <f>SUM(K28:K40)</f>
        <v>3871.1</v>
      </c>
      <c r="L41" s="9"/>
      <c r="M41" s="9"/>
      <c r="N41" s="9"/>
    </row>
    <row r="42" spans="1:14" ht="14.25" customHeight="1" x14ac:dyDescent="0.3">
      <c r="G42" s="9"/>
      <c r="H42" s="1" t="s">
        <v>51</v>
      </c>
      <c r="I42" s="9"/>
      <c r="J42" s="9"/>
      <c r="K42" s="2">
        <f>K24-K41</f>
        <v>3046.6</v>
      </c>
      <c r="L42" s="9"/>
      <c r="M42" s="9"/>
      <c r="N42" s="9"/>
    </row>
    <row r="43" spans="1:14" ht="14.25" customHeight="1" x14ac:dyDescent="0.3"/>
    <row r="44" spans="1:14" ht="14.25" customHeight="1" x14ac:dyDescent="0.3"/>
    <row r="45" spans="1:14" ht="14.25" customHeight="1" x14ac:dyDescent="0.3"/>
    <row r="46" spans="1:14" ht="14.25" customHeight="1" x14ac:dyDescent="0.3"/>
    <row r="47" spans="1:14" ht="14.25" customHeight="1" x14ac:dyDescent="0.3"/>
    <row r="48" spans="1:1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4">
    <mergeCell ref="A1:E1"/>
    <mergeCell ref="G1:K1"/>
    <mergeCell ref="A26:D26"/>
    <mergeCell ref="G26:N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7F19-388F-428E-953E-FC53466C44A2}">
  <dimension ref="A1:O1002"/>
  <sheetViews>
    <sheetView zoomScale="85" zoomScaleNormal="85" workbookViewId="0">
      <selection activeCell="B32" sqref="B32"/>
    </sheetView>
  </sheetViews>
  <sheetFormatPr baseColWidth="10" defaultColWidth="14" defaultRowHeight="14.4" x14ac:dyDescent="0.3"/>
  <cols>
    <col min="1" max="1" width="5.44140625" customWidth="1"/>
    <col min="2" max="2" width="26.6640625" customWidth="1"/>
    <col min="3" max="3" width="11.6640625" customWidth="1"/>
    <col min="4" max="4" width="12.6640625" customWidth="1"/>
    <col min="5" max="6" width="11.6640625" customWidth="1"/>
    <col min="7" max="7" width="5" customWidth="1"/>
    <col min="8" max="8" width="27.33203125" customWidth="1"/>
    <col min="9" max="9" width="8.88671875" customWidth="1"/>
    <col min="10" max="10" width="10.6640625" customWidth="1"/>
    <col min="11" max="11" width="13" customWidth="1"/>
    <col min="12" max="12" width="11.6640625" style="42" customWidth="1"/>
    <col min="13" max="13" width="17.33203125" style="42" customWidth="1"/>
    <col min="14" max="14" width="7.6640625" style="42" customWidth="1"/>
    <col min="15" max="26" width="11.6640625" customWidth="1"/>
  </cols>
  <sheetData>
    <row r="1" spans="1:15" ht="14.25" customHeight="1" x14ac:dyDescent="0.3">
      <c r="A1" s="69" t="s">
        <v>0</v>
      </c>
      <c r="B1" s="70"/>
      <c r="C1" s="70"/>
      <c r="D1" s="70"/>
      <c r="E1" s="70"/>
      <c r="F1" s="30"/>
      <c r="G1" s="69" t="s">
        <v>1</v>
      </c>
      <c r="H1" s="70"/>
      <c r="I1" s="70"/>
      <c r="J1" s="70"/>
      <c r="K1" s="70"/>
      <c r="M1" s="1" t="s">
        <v>2</v>
      </c>
    </row>
    <row r="2" spans="1:15" ht="14.25" customHeigh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5"/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2">
        <f>E24+K24</f>
        <v>21795.4</v>
      </c>
    </row>
    <row r="3" spans="1:15" ht="14.25" customHeight="1" x14ac:dyDescent="0.3">
      <c r="A3" s="3">
        <v>1</v>
      </c>
      <c r="B3" s="22" t="s">
        <v>72</v>
      </c>
      <c r="C3" s="4">
        <v>8</v>
      </c>
      <c r="D3" s="5">
        <v>150</v>
      </c>
      <c r="E3" s="5">
        <f t="shared" ref="E3:E7" si="0">C3*D3</f>
        <v>1200</v>
      </c>
      <c r="F3" s="5"/>
      <c r="G3" s="3">
        <v>1</v>
      </c>
      <c r="H3" s="4" t="s">
        <v>54</v>
      </c>
      <c r="I3" s="4">
        <v>64</v>
      </c>
      <c r="J3" s="6">
        <v>56</v>
      </c>
      <c r="K3" s="5">
        <f t="shared" ref="K3:K18" si="1">I3*J3</f>
        <v>3584</v>
      </c>
      <c r="L3" s="5">
        <v>3584</v>
      </c>
      <c r="M3" s="45">
        <f t="shared" ref="M3:M9" si="2">L3/I3</f>
        <v>56</v>
      </c>
    </row>
    <row r="4" spans="1:15" ht="14.25" customHeight="1" x14ac:dyDescent="0.3">
      <c r="A4" s="3">
        <f t="shared" ref="A4:A8" si="3">A3+1</f>
        <v>2</v>
      </c>
      <c r="B4" s="22" t="s">
        <v>73</v>
      </c>
      <c r="C4" s="4">
        <v>3</v>
      </c>
      <c r="D4" s="5">
        <v>500</v>
      </c>
      <c r="E4" s="5">
        <f t="shared" si="0"/>
        <v>1500</v>
      </c>
      <c r="F4" s="5"/>
      <c r="G4" s="3">
        <f t="shared" ref="G4:G24" si="4">G3+1</f>
        <v>2</v>
      </c>
      <c r="H4" s="4" t="s">
        <v>55</v>
      </c>
      <c r="I4" s="4">
        <v>48</v>
      </c>
      <c r="J4" s="6">
        <v>38.5</v>
      </c>
      <c r="K4" s="5">
        <f t="shared" si="1"/>
        <v>1848</v>
      </c>
      <c r="L4" s="5">
        <v>1728</v>
      </c>
      <c r="M4" s="45">
        <f t="shared" si="2"/>
        <v>36</v>
      </c>
    </row>
    <row r="5" spans="1:15" ht="14.25" customHeight="1" x14ac:dyDescent="0.3">
      <c r="A5" s="7">
        <f t="shared" si="3"/>
        <v>3</v>
      </c>
      <c r="B5" s="22" t="s">
        <v>70</v>
      </c>
      <c r="C5" s="4">
        <v>50</v>
      </c>
      <c r="D5" s="5">
        <v>55</v>
      </c>
      <c r="E5" s="5">
        <f t="shared" si="0"/>
        <v>2750</v>
      </c>
      <c r="F5" s="5"/>
      <c r="G5" s="3">
        <f t="shared" si="4"/>
        <v>3</v>
      </c>
      <c r="H5" s="4" t="s">
        <v>56</v>
      </c>
      <c r="I5" s="4">
        <v>48</v>
      </c>
      <c r="J5" s="6">
        <v>21.8</v>
      </c>
      <c r="K5" s="5">
        <f t="shared" si="1"/>
        <v>1046.4000000000001</v>
      </c>
      <c r="L5" s="5">
        <v>984</v>
      </c>
      <c r="M5" s="45">
        <f t="shared" si="2"/>
        <v>20.5</v>
      </c>
    </row>
    <row r="6" spans="1:15" ht="14.25" customHeight="1" x14ac:dyDescent="0.3">
      <c r="A6" s="3">
        <f t="shared" si="3"/>
        <v>4</v>
      </c>
      <c r="B6" s="4" t="s">
        <v>71</v>
      </c>
      <c r="C6" s="4">
        <v>35</v>
      </c>
      <c r="D6" s="5">
        <v>55</v>
      </c>
      <c r="E6" s="5">
        <f t="shared" si="0"/>
        <v>1925</v>
      </c>
      <c r="F6" s="5"/>
      <c r="G6" s="3">
        <f t="shared" si="4"/>
        <v>4</v>
      </c>
      <c r="H6" s="4" t="s">
        <v>57</v>
      </c>
      <c r="I6" s="4">
        <v>35</v>
      </c>
      <c r="J6" s="6">
        <v>10</v>
      </c>
      <c r="K6" s="5">
        <f t="shared" si="1"/>
        <v>350</v>
      </c>
      <c r="L6" s="5">
        <v>315</v>
      </c>
      <c r="M6" s="45">
        <f t="shared" si="2"/>
        <v>9</v>
      </c>
    </row>
    <row r="7" spans="1:15" ht="14.25" customHeight="1" x14ac:dyDescent="0.3">
      <c r="A7" s="3">
        <f t="shared" si="3"/>
        <v>5</v>
      </c>
      <c r="B7" s="22" t="s">
        <v>52</v>
      </c>
      <c r="C7" s="4">
        <v>8</v>
      </c>
      <c r="D7" s="5">
        <v>20</v>
      </c>
      <c r="E7" s="5">
        <f t="shared" si="0"/>
        <v>160</v>
      </c>
      <c r="F7" s="5"/>
      <c r="G7" s="3">
        <f t="shared" si="4"/>
        <v>5</v>
      </c>
      <c r="H7" s="4" t="s">
        <v>58</v>
      </c>
      <c r="I7" s="4">
        <v>30</v>
      </c>
      <c r="J7" s="6">
        <v>6</v>
      </c>
      <c r="K7" s="5">
        <f t="shared" si="1"/>
        <v>180</v>
      </c>
      <c r="L7" s="5">
        <v>135</v>
      </c>
      <c r="M7" s="45">
        <f t="shared" si="2"/>
        <v>4.5</v>
      </c>
      <c r="N7" s="42">
        <f>120</f>
        <v>120</v>
      </c>
    </row>
    <row r="8" spans="1:15" ht="14.25" customHeight="1" x14ac:dyDescent="0.3">
      <c r="A8" s="3">
        <f t="shared" si="3"/>
        <v>6</v>
      </c>
      <c r="B8" s="9"/>
      <c r="C8" s="9"/>
      <c r="D8" s="9"/>
      <c r="E8" s="9"/>
      <c r="F8" s="9"/>
      <c r="G8" s="3">
        <f t="shared" si="4"/>
        <v>6</v>
      </c>
      <c r="H8" s="4" t="s">
        <v>60</v>
      </c>
      <c r="I8" s="4">
        <v>10</v>
      </c>
      <c r="J8" s="5">
        <v>7</v>
      </c>
      <c r="K8" s="5">
        <f t="shared" si="1"/>
        <v>70</v>
      </c>
      <c r="L8" s="5">
        <v>45</v>
      </c>
      <c r="M8" s="45">
        <f t="shared" si="2"/>
        <v>4.5</v>
      </c>
    </row>
    <row r="9" spans="1:15" ht="14.25" customHeight="1" x14ac:dyDescent="0.3">
      <c r="A9" s="3"/>
      <c r="B9" s="9"/>
      <c r="C9" s="9"/>
      <c r="D9" s="9"/>
      <c r="E9" s="9"/>
      <c r="F9" s="9"/>
      <c r="G9" s="3">
        <f t="shared" si="4"/>
        <v>7</v>
      </c>
      <c r="H9" s="4" t="s">
        <v>59</v>
      </c>
      <c r="I9" s="4">
        <v>10</v>
      </c>
      <c r="J9" s="6">
        <v>7</v>
      </c>
      <c r="K9" s="5">
        <f t="shared" si="1"/>
        <v>70</v>
      </c>
      <c r="L9" s="5">
        <v>50</v>
      </c>
      <c r="M9" s="45">
        <f t="shared" si="2"/>
        <v>5</v>
      </c>
      <c r="O9" s="10"/>
    </row>
    <row r="10" spans="1:15" ht="14.25" customHeight="1" x14ac:dyDescent="0.3">
      <c r="A10" s="11"/>
      <c r="B10" s="4"/>
      <c r="C10" s="4"/>
      <c r="D10" s="5"/>
      <c r="E10" s="5"/>
      <c r="F10" s="5"/>
      <c r="G10" s="3">
        <f t="shared" si="4"/>
        <v>8</v>
      </c>
      <c r="H10" s="4" t="s">
        <v>61</v>
      </c>
      <c r="I10" s="4">
        <v>300</v>
      </c>
      <c r="J10" s="6">
        <v>3</v>
      </c>
      <c r="K10" s="5">
        <f t="shared" si="1"/>
        <v>900</v>
      </c>
      <c r="L10" s="5">
        <v>750</v>
      </c>
      <c r="M10" s="45">
        <f t="shared" ref="M10:M18" si="5">L10/I10</f>
        <v>2.5</v>
      </c>
    </row>
    <row r="11" spans="1:15" ht="14.25" customHeight="1" x14ac:dyDescent="0.3">
      <c r="A11" s="3"/>
      <c r="B11" s="4"/>
      <c r="C11" s="4"/>
      <c r="D11" s="5"/>
      <c r="E11" s="5"/>
      <c r="F11" s="5"/>
      <c r="G11" s="3">
        <f t="shared" si="4"/>
        <v>9</v>
      </c>
      <c r="H11" s="4" t="s">
        <v>62</v>
      </c>
      <c r="I11" s="4">
        <v>1200</v>
      </c>
      <c r="J11" s="6">
        <v>0.7</v>
      </c>
      <c r="K11" s="5">
        <f t="shared" si="1"/>
        <v>840</v>
      </c>
      <c r="L11" s="5">
        <v>960</v>
      </c>
      <c r="M11" s="45">
        <f t="shared" si="5"/>
        <v>0.8</v>
      </c>
    </row>
    <row r="12" spans="1:15" ht="14.25" customHeight="1" x14ac:dyDescent="0.3">
      <c r="A12" s="3"/>
      <c r="B12" s="4"/>
      <c r="C12" s="4"/>
      <c r="D12" s="5"/>
      <c r="E12" s="5"/>
      <c r="F12" s="5"/>
      <c r="G12" s="3">
        <f t="shared" si="4"/>
        <v>10</v>
      </c>
      <c r="H12" s="4" t="s">
        <v>63</v>
      </c>
      <c r="I12" s="4">
        <v>1800</v>
      </c>
      <c r="J12" s="6">
        <v>0.7</v>
      </c>
      <c r="K12" s="5">
        <f t="shared" si="1"/>
        <v>1260</v>
      </c>
      <c r="L12" s="5">
        <v>1008</v>
      </c>
      <c r="M12" s="45">
        <f t="shared" si="5"/>
        <v>0.56000000000000005</v>
      </c>
    </row>
    <row r="13" spans="1:15" ht="14.25" customHeight="1" x14ac:dyDescent="0.3">
      <c r="A13" s="3"/>
      <c r="B13" s="4"/>
      <c r="C13" s="4"/>
      <c r="D13" s="5"/>
      <c r="E13" s="5"/>
      <c r="F13" s="5"/>
      <c r="G13" s="3">
        <f t="shared" si="4"/>
        <v>11</v>
      </c>
      <c r="H13" s="4" t="s">
        <v>64</v>
      </c>
      <c r="I13" s="4">
        <v>118</v>
      </c>
      <c r="J13" s="5">
        <v>28</v>
      </c>
      <c r="K13" s="5">
        <f t="shared" si="1"/>
        <v>3304</v>
      </c>
      <c r="L13" s="5">
        <v>3363</v>
      </c>
      <c r="M13" s="45">
        <f t="shared" si="5"/>
        <v>28.5</v>
      </c>
    </row>
    <row r="14" spans="1:15" ht="14.25" customHeight="1" x14ac:dyDescent="0.3">
      <c r="A14" s="3"/>
      <c r="B14" s="4"/>
      <c r="C14" s="4"/>
      <c r="D14" s="5"/>
      <c r="E14" s="5"/>
      <c r="F14" s="5"/>
      <c r="G14" s="3">
        <f t="shared" si="4"/>
        <v>12</v>
      </c>
      <c r="H14" s="4" t="s">
        <v>65</v>
      </c>
      <c r="I14" s="4">
        <v>2</v>
      </c>
      <c r="J14" s="6">
        <v>170</v>
      </c>
      <c r="K14" s="5">
        <f t="shared" si="1"/>
        <v>340</v>
      </c>
      <c r="L14" s="5">
        <v>320</v>
      </c>
      <c r="M14" s="45">
        <f t="shared" si="5"/>
        <v>160</v>
      </c>
    </row>
    <row r="15" spans="1:15" ht="14.25" customHeight="1" x14ac:dyDescent="0.3">
      <c r="A15" s="3"/>
      <c r="B15" s="4"/>
      <c r="C15" s="4"/>
      <c r="D15" s="5"/>
      <c r="E15" s="5"/>
      <c r="F15" s="5"/>
      <c r="G15" s="3">
        <f t="shared" si="4"/>
        <v>13</v>
      </c>
      <c r="H15" s="4" t="s">
        <v>66</v>
      </c>
      <c r="I15" s="4">
        <v>1</v>
      </c>
      <c r="J15" s="5">
        <v>300</v>
      </c>
      <c r="K15" s="5">
        <f t="shared" si="1"/>
        <v>300</v>
      </c>
      <c r="L15" s="5">
        <v>300</v>
      </c>
      <c r="M15" s="45">
        <f t="shared" si="5"/>
        <v>300</v>
      </c>
    </row>
    <row r="16" spans="1:15" ht="14.25" customHeight="1" x14ac:dyDescent="0.3">
      <c r="A16" s="3">
        <f>A8+1</f>
        <v>7</v>
      </c>
      <c r="B16" s="5"/>
      <c r="C16" s="8"/>
      <c r="D16" s="5"/>
      <c r="E16" s="2"/>
      <c r="F16" s="2"/>
      <c r="G16" s="3">
        <f t="shared" si="4"/>
        <v>14</v>
      </c>
      <c r="H16" s="4" t="s">
        <v>67</v>
      </c>
      <c r="I16" s="4">
        <v>9</v>
      </c>
      <c r="J16" s="5">
        <v>4</v>
      </c>
      <c r="K16" s="5">
        <f t="shared" si="1"/>
        <v>36</v>
      </c>
      <c r="L16" s="5">
        <v>14.4</v>
      </c>
      <c r="M16" s="45">
        <f t="shared" si="5"/>
        <v>1.6</v>
      </c>
    </row>
    <row r="17" spans="1:14" ht="14.25" customHeight="1" x14ac:dyDescent="0.3">
      <c r="A17" s="3">
        <f t="shared" ref="A17:A24" si="6">A16+1</f>
        <v>8</v>
      </c>
      <c r="B17" s="4"/>
      <c r="C17" s="4"/>
      <c r="D17" s="5"/>
      <c r="E17" s="5"/>
      <c r="F17" s="5"/>
      <c r="G17" s="3">
        <f t="shared" si="4"/>
        <v>15</v>
      </c>
      <c r="H17" s="4" t="s">
        <v>68</v>
      </c>
      <c r="I17" s="4">
        <v>25</v>
      </c>
      <c r="J17" s="5">
        <v>4</v>
      </c>
      <c r="K17" s="5">
        <f t="shared" si="1"/>
        <v>100</v>
      </c>
      <c r="L17" s="5">
        <v>60</v>
      </c>
      <c r="M17" s="45">
        <f t="shared" si="5"/>
        <v>2.4</v>
      </c>
    </row>
    <row r="18" spans="1:14" ht="14.25" customHeight="1" x14ac:dyDescent="0.3">
      <c r="A18" s="3">
        <f t="shared" si="6"/>
        <v>9</v>
      </c>
      <c r="B18" s="4"/>
      <c r="C18" s="4"/>
      <c r="D18" s="5"/>
      <c r="E18" s="5"/>
      <c r="F18" s="5"/>
      <c r="G18" s="3">
        <f t="shared" si="4"/>
        <v>16</v>
      </c>
      <c r="H18" s="4" t="s">
        <v>69</v>
      </c>
      <c r="I18" s="4">
        <v>80</v>
      </c>
      <c r="J18" s="6">
        <v>0.4</v>
      </c>
      <c r="K18" s="5">
        <f t="shared" si="1"/>
        <v>32</v>
      </c>
      <c r="L18" s="5">
        <v>28</v>
      </c>
      <c r="M18" s="45">
        <f t="shared" si="5"/>
        <v>0.35</v>
      </c>
    </row>
    <row r="19" spans="1:14" ht="14.25" customHeight="1" x14ac:dyDescent="0.3">
      <c r="A19" s="3">
        <f t="shared" si="6"/>
        <v>10</v>
      </c>
      <c r="B19" s="4"/>
      <c r="C19" s="4"/>
      <c r="D19" s="5"/>
      <c r="E19" s="5"/>
      <c r="F19" s="5"/>
      <c r="G19" s="3">
        <f t="shared" si="4"/>
        <v>17</v>
      </c>
      <c r="H19" s="4"/>
      <c r="I19" s="4"/>
      <c r="J19" s="5"/>
      <c r="K19" s="5"/>
    </row>
    <row r="20" spans="1:14" ht="14.25" customHeight="1" x14ac:dyDescent="0.3">
      <c r="A20" s="3">
        <f t="shared" si="6"/>
        <v>11</v>
      </c>
      <c r="B20" s="4"/>
      <c r="C20" s="4"/>
      <c r="D20" s="5"/>
      <c r="E20" s="5"/>
      <c r="F20" s="5"/>
      <c r="G20" s="3">
        <f t="shared" si="4"/>
        <v>18</v>
      </c>
      <c r="H20" s="4"/>
      <c r="I20" s="12"/>
      <c r="J20" s="5"/>
      <c r="K20" s="5"/>
    </row>
    <row r="21" spans="1:14" ht="14.25" customHeight="1" x14ac:dyDescent="0.3">
      <c r="A21" s="3">
        <f t="shared" si="6"/>
        <v>12</v>
      </c>
      <c r="B21" s="4"/>
      <c r="C21" s="4"/>
      <c r="D21" s="5"/>
      <c r="E21" s="5"/>
      <c r="F21" s="5"/>
      <c r="G21" s="3">
        <f t="shared" si="4"/>
        <v>19</v>
      </c>
      <c r="H21" s="4"/>
      <c r="I21" s="4"/>
      <c r="J21" s="5"/>
      <c r="K21" s="5"/>
    </row>
    <row r="22" spans="1:14" ht="14.25" customHeight="1" x14ac:dyDescent="0.3">
      <c r="A22" s="3">
        <f t="shared" si="6"/>
        <v>13</v>
      </c>
      <c r="B22" s="4"/>
      <c r="C22" s="4"/>
      <c r="D22" s="5"/>
      <c r="E22" s="5"/>
      <c r="F22" s="5"/>
      <c r="G22" s="3">
        <f t="shared" si="4"/>
        <v>20</v>
      </c>
      <c r="H22" s="4"/>
      <c r="I22" s="4"/>
      <c r="J22" s="5"/>
      <c r="K22" s="5"/>
    </row>
    <row r="23" spans="1:14" ht="14.25" customHeight="1" x14ac:dyDescent="0.3">
      <c r="A23" s="3">
        <f t="shared" si="6"/>
        <v>14</v>
      </c>
      <c r="B23" s="1" t="s">
        <v>53</v>
      </c>
      <c r="C23" s="8"/>
      <c r="D23" s="5"/>
      <c r="E23" s="2"/>
      <c r="F23" s="2"/>
      <c r="G23" s="3">
        <f t="shared" si="4"/>
        <v>21</v>
      </c>
      <c r="H23" s="1" t="s">
        <v>53</v>
      </c>
      <c r="I23" s="8"/>
      <c r="J23" s="5"/>
      <c r="K23" s="2"/>
    </row>
    <row r="24" spans="1:14" ht="14.25" customHeight="1" x14ac:dyDescent="0.3">
      <c r="A24" s="3">
        <f t="shared" si="6"/>
        <v>15</v>
      </c>
      <c r="B24" s="1" t="s">
        <v>25</v>
      </c>
      <c r="C24" s="4"/>
      <c r="D24" s="5"/>
      <c r="E24" s="2">
        <f>SUM(E3:E23)</f>
        <v>7535</v>
      </c>
      <c r="F24" s="2"/>
      <c r="G24" s="3">
        <f t="shared" si="4"/>
        <v>22</v>
      </c>
      <c r="H24" s="1" t="s">
        <v>25</v>
      </c>
      <c r="I24" s="4"/>
      <c r="J24" s="5"/>
      <c r="K24" s="2">
        <f>SUM(K3:K23)</f>
        <v>14260.4</v>
      </c>
      <c r="L24" s="2">
        <f>SUM(L3:L23)</f>
        <v>13644.4</v>
      </c>
      <c r="N24" s="44"/>
    </row>
    <row r="25" spans="1:14" ht="14.25" customHeight="1" x14ac:dyDescent="0.3">
      <c r="D25" s="1" t="s">
        <v>82</v>
      </c>
      <c r="E25" s="2"/>
      <c r="F25" s="31"/>
    </row>
    <row r="26" spans="1:14" ht="14.25" customHeight="1" x14ac:dyDescent="0.3">
      <c r="A26" s="69" t="s">
        <v>26</v>
      </c>
      <c r="B26" s="70"/>
      <c r="C26" s="70"/>
      <c r="D26" s="70"/>
      <c r="G26" s="71" t="s">
        <v>27</v>
      </c>
      <c r="H26" s="70"/>
      <c r="I26" s="70"/>
      <c r="J26" s="70"/>
      <c r="K26" s="70"/>
      <c r="L26" s="70"/>
      <c r="M26" s="70"/>
      <c r="N26" s="70"/>
    </row>
    <row r="27" spans="1:14" ht="14.25" customHeight="1" x14ac:dyDescent="0.3">
      <c r="A27" s="13" t="s">
        <v>3</v>
      </c>
      <c r="B27" s="13" t="s">
        <v>4</v>
      </c>
      <c r="C27" s="13" t="s">
        <v>28</v>
      </c>
      <c r="D27" s="13" t="s">
        <v>29</v>
      </c>
      <c r="G27" s="1" t="s">
        <v>3</v>
      </c>
      <c r="H27" s="1" t="s">
        <v>30</v>
      </c>
      <c r="I27" s="1" t="s">
        <v>5</v>
      </c>
      <c r="J27" s="1" t="s">
        <v>31</v>
      </c>
      <c r="K27" s="1" t="s">
        <v>32</v>
      </c>
      <c r="L27" s="1" t="s">
        <v>29</v>
      </c>
      <c r="M27" s="1" t="s">
        <v>33</v>
      </c>
      <c r="N27" s="1" t="s">
        <v>34</v>
      </c>
    </row>
    <row r="28" spans="1:14" ht="14.25" customHeight="1" x14ac:dyDescent="0.3">
      <c r="A28" s="3">
        <v>1</v>
      </c>
      <c r="B28" s="14" t="s">
        <v>83</v>
      </c>
      <c r="C28" s="5">
        <v>100</v>
      </c>
      <c r="D28" s="15">
        <v>45489</v>
      </c>
      <c r="G28" s="7">
        <v>1</v>
      </c>
      <c r="H28" s="16"/>
      <c r="I28" s="16">
        <v>1</v>
      </c>
      <c r="J28" s="17">
        <v>7000</v>
      </c>
      <c r="K28" s="17">
        <f>I28*J28</f>
        <v>7000</v>
      </c>
      <c r="L28" s="18"/>
      <c r="M28" s="7"/>
      <c r="N28" s="7"/>
    </row>
    <row r="29" spans="1:14" ht="14.25" customHeight="1" x14ac:dyDescent="0.3">
      <c r="A29" s="3">
        <f t="shared" ref="A29:A38" si="7">A28+1</f>
        <v>2</v>
      </c>
      <c r="B29" s="14" t="s">
        <v>84</v>
      </c>
      <c r="C29" s="5">
        <v>1140</v>
      </c>
      <c r="D29" s="15">
        <v>45493</v>
      </c>
      <c r="G29" s="3">
        <f t="shared" ref="G29:G36" si="8">G28+1</f>
        <v>2</v>
      </c>
      <c r="H29" s="4"/>
      <c r="I29" s="4">
        <v>1</v>
      </c>
      <c r="J29" s="5">
        <v>2000</v>
      </c>
      <c r="K29" s="17">
        <f t="shared" ref="K29:K40" si="9">I29*J29</f>
        <v>2000</v>
      </c>
      <c r="L29" s="15"/>
      <c r="M29" s="3"/>
      <c r="N29" s="3"/>
    </row>
    <row r="30" spans="1:14" ht="14.25" customHeight="1" x14ac:dyDescent="0.3">
      <c r="A30" s="3">
        <f t="shared" si="7"/>
        <v>3</v>
      </c>
      <c r="B30" s="14" t="s">
        <v>89</v>
      </c>
      <c r="C30" s="5">
        <v>300</v>
      </c>
      <c r="D30" s="15">
        <v>45497</v>
      </c>
      <c r="G30" s="3">
        <f t="shared" si="8"/>
        <v>3</v>
      </c>
      <c r="H30" s="4"/>
      <c r="I30" s="4">
        <v>1</v>
      </c>
      <c r="J30" s="5">
        <v>2400</v>
      </c>
      <c r="K30" s="17">
        <f t="shared" si="9"/>
        <v>2400</v>
      </c>
      <c r="L30" s="15">
        <v>45552</v>
      </c>
      <c r="M30" s="3"/>
      <c r="N30" s="3"/>
    </row>
    <row r="31" spans="1:14" ht="14.25" customHeight="1" x14ac:dyDescent="0.3">
      <c r="A31" s="3">
        <f t="shared" si="7"/>
        <v>4</v>
      </c>
      <c r="B31" s="19" t="s">
        <v>85</v>
      </c>
      <c r="C31" s="5">
        <v>700</v>
      </c>
      <c r="D31" s="15">
        <v>45500</v>
      </c>
      <c r="G31" s="3">
        <f t="shared" si="8"/>
        <v>4</v>
      </c>
      <c r="H31" s="4"/>
      <c r="I31" s="4"/>
      <c r="J31" s="6"/>
      <c r="K31" s="17">
        <f t="shared" si="9"/>
        <v>0</v>
      </c>
      <c r="L31" s="15"/>
      <c r="M31" s="3"/>
      <c r="N31" s="3"/>
    </row>
    <row r="32" spans="1:14" ht="14.25" customHeight="1" x14ac:dyDescent="0.3">
      <c r="A32" s="3">
        <f t="shared" si="7"/>
        <v>5</v>
      </c>
      <c r="B32" s="19" t="s">
        <v>86</v>
      </c>
      <c r="C32" s="5">
        <v>800</v>
      </c>
      <c r="D32" s="15">
        <v>45500</v>
      </c>
      <c r="G32" s="3">
        <f t="shared" si="8"/>
        <v>5</v>
      </c>
      <c r="H32" s="4"/>
      <c r="I32" s="4"/>
      <c r="J32" s="6"/>
      <c r="K32" s="17">
        <f t="shared" si="9"/>
        <v>0</v>
      </c>
      <c r="L32" s="15"/>
      <c r="M32" s="3"/>
      <c r="N32" s="3"/>
    </row>
    <row r="33" spans="1:14" ht="14.25" customHeight="1" x14ac:dyDescent="0.3">
      <c r="A33" s="3">
        <f t="shared" si="7"/>
        <v>6</v>
      </c>
      <c r="B33" s="19" t="s">
        <v>87</v>
      </c>
      <c r="C33" s="5">
        <v>100</v>
      </c>
      <c r="D33" s="15">
        <v>45506</v>
      </c>
      <c r="G33" s="3">
        <f t="shared" si="8"/>
        <v>6</v>
      </c>
      <c r="H33" s="4"/>
      <c r="I33" s="4"/>
      <c r="J33" s="6"/>
      <c r="K33" s="17">
        <f t="shared" si="9"/>
        <v>0</v>
      </c>
      <c r="L33" s="15"/>
      <c r="M33" s="3"/>
      <c r="N33" s="3"/>
    </row>
    <row r="34" spans="1:14" ht="14.25" customHeight="1" x14ac:dyDescent="0.3">
      <c r="A34" s="3">
        <f t="shared" si="7"/>
        <v>7</v>
      </c>
      <c r="B34" s="19" t="s">
        <v>87</v>
      </c>
      <c r="C34" s="32">
        <v>700</v>
      </c>
      <c r="D34" s="15">
        <v>45507</v>
      </c>
      <c r="G34" s="3">
        <f t="shared" si="8"/>
        <v>7</v>
      </c>
      <c r="H34" s="4"/>
      <c r="I34" s="4"/>
      <c r="J34" s="6"/>
      <c r="K34" s="17">
        <f t="shared" si="9"/>
        <v>0</v>
      </c>
      <c r="L34" s="15"/>
      <c r="M34" s="3"/>
      <c r="N34" s="3"/>
    </row>
    <row r="35" spans="1:14" ht="14.25" customHeight="1" x14ac:dyDescent="0.3">
      <c r="A35" s="3">
        <f t="shared" si="7"/>
        <v>8</v>
      </c>
      <c r="B35" s="19" t="s">
        <v>88</v>
      </c>
      <c r="C35" s="5">
        <v>450</v>
      </c>
      <c r="D35" s="15">
        <v>45514</v>
      </c>
      <c r="G35" s="3">
        <f t="shared" si="8"/>
        <v>8</v>
      </c>
      <c r="H35" s="16"/>
      <c r="I35" s="16"/>
      <c r="J35" s="17"/>
      <c r="K35" s="17">
        <f t="shared" si="9"/>
        <v>0</v>
      </c>
      <c r="L35" s="43"/>
      <c r="M35" s="43"/>
      <c r="N35" s="43"/>
    </row>
    <row r="36" spans="1:14" ht="14.25" customHeight="1" x14ac:dyDescent="0.3">
      <c r="A36" s="3">
        <f t="shared" si="7"/>
        <v>9</v>
      </c>
      <c r="B36" s="19" t="s">
        <v>90</v>
      </c>
      <c r="C36" s="5">
        <v>200</v>
      </c>
      <c r="D36" s="15">
        <v>45521</v>
      </c>
      <c r="G36" s="3">
        <f t="shared" si="8"/>
        <v>9</v>
      </c>
      <c r="H36" s="4"/>
      <c r="I36" s="16"/>
      <c r="J36" s="17"/>
      <c r="K36" s="17">
        <f t="shared" si="9"/>
        <v>0</v>
      </c>
      <c r="L36" s="43"/>
      <c r="M36" s="43"/>
      <c r="N36" s="43"/>
    </row>
    <row r="37" spans="1:14" ht="14.25" customHeight="1" x14ac:dyDescent="0.3">
      <c r="A37" s="3">
        <f t="shared" si="7"/>
        <v>10</v>
      </c>
      <c r="B37" s="19" t="s">
        <v>91</v>
      </c>
      <c r="C37" s="5">
        <v>90</v>
      </c>
      <c r="D37" s="15">
        <v>45521</v>
      </c>
      <c r="G37" s="3"/>
      <c r="H37" s="9"/>
      <c r="I37" s="9"/>
      <c r="J37" s="9"/>
      <c r="K37" s="17">
        <f t="shared" si="9"/>
        <v>0</v>
      </c>
      <c r="L37" s="43"/>
      <c r="M37" s="43"/>
      <c r="N37" s="43"/>
    </row>
    <row r="38" spans="1:14" ht="14.25" customHeight="1" x14ac:dyDescent="0.3">
      <c r="A38" s="7">
        <f t="shared" si="7"/>
        <v>11</v>
      </c>
      <c r="B38" s="24" t="s">
        <v>92</v>
      </c>
      <c r="C38" s="25">
        <v>6</v>
      </c>
      <c r="D38" s="18">
        <v>45521</v>
      </c>
      <c r="G38" s="3"/>
      <c r="H38" s="9"/>
      <c r="I38" s="9"/>
      <c r="J38" s="9"/>
      <c r="K38" s="17">
        <f t="shared" si="9"/>
        <v>0</v>
      </c>
      <c r="L38" s="43"/>
      <c r="M38" s="43"/>
      <c r="N38" s="43"/>
    </row>
    <row r="39" spans="1:14" ht="14.25" customHeight="1" x14ac:dyDescent="0.3">
      <c r="A39" s="33">
        <f>A36+1</f>
        <v>10</v>
      </c>
      <c r="B39" s="26" t="s">
        <v>94</v>
      </c>
      <c r="C39" s="27">
        <v>20</v>
      </c>
      <c r="D39" s="18">
        <v>45525</v>
      </c>
      <c r="G39" s="3">
        <f>G36+1</f>
        <v>10</v>
      </c>
      <c r="H39" s="9"/>
      <c r="I39" s="9"/>
      <c r="J39" s="9"/>
      <c r="K39" s="17">
        <f t="shared" si="9"/>
        <v>0</v>
      </c>
      <c r="L39" s="43"/>
      <c r="M39" s="43"/>
      <c r="N39" s="43"/>
    </row>
    <row r="40" spans="1:14" ht="14.25" customHeight="1" x14ac:dyDescent="0.3">
      <c r="A40" s="33">
        <f t="shared" ref="A40:A48" si="10">A39+1</f>
        <v>11</v>
      </c>
      <c r="B40" s="28" t="s">
        <v>95</v>
      </c>
      <c r="C40" s="27">
        <v>14</v>
      </c>
      <c r="D40" s="18">
        <v>45531</v>
      </c>
      <c r="G40" s="3">
        <f t="shared" ref="G40:G41" si="11">G39+1</f>
        <v>11</v>
      </c>
      <c r="H40" s="9"/>
      <c r="I40" s="9"/>
      <c r="J40" s="9"/>
      <c r="K40" s="17">
        <f t="shared" si="9"/>
        <v>0</v>
      </c>
      <c r="L40" s="43"/>
      <c r="M40" s="43"/>
      <c r="N40" s="43"/>
    </row>
    <row r="41" spans="1:14" ht="14.25" customHeight="1" x14ac:dyDescent="0.3">
      <c r="A41" s="33">
        <f t="shared" si="10"/>
        <v>12</v>
      </c>
      <c r="B41" s="28" t="s">
        <v>96</v>
      </c>
      <c r="C41" s="37">
        <v>30</v>
      </c>
      <c r="D41" s="40">
        <v>45531</v>
      </c>
      <c r="G41" s="3">
        <f t="shared" si="11"/>
        <v>12</v>
      </c>
      <c r="H41" s="1" t="s">
        <v>50</v>
      </c>
      <c r="I41" s="4"/>
      <c r="J41" s="5"/>
      <c r="K41" s="2">
        <f>SUM(K28:K40)</f>
        <v>11400</v>
      </c>
      <c r="L41" s="43"/>
      <c r="M41" s="43"/>
      <c r="N41" s="43"/>
    </row>
    <row r="42" spans="1:14" ht="14.25" customHeight="1" x14ac:dyDescent="0.3">
      <c r="A42" s="33">
        <f t="shared" si="10"/>
        <v>13</v>
      </c>
      <c r="B42" s="28"/>
      <c r="C42" s="37"/>
      <c r="D42" s="40"/>
      <c r="G42" s="9"/>
      <c r="H42" s="1" t="s">
        <v>51</v>
      </c>
      <c r="I42" s="9"/>
      <c r="J42" s="9"/>
      <c r="K42" s="2">
        <f>L24-K41</f>
        <v>2244.3999999999996</v>
      </c>
      <c r="L42" s="43"/>
      <c r="M42" s="43"/>
      <c r="N42" s="43"/>
    </row>
    <row r="43" spans="1:14" ht="14.25" customHeight="1" x14ac:dyDescent="0.3">
      <c r="A43" s="33">
        <f t="shared" si="10"/>
        <v>14</v>
      </c>
      <c r="B43" s="28"/>
      <c r="C43" s="37"/>
      <c r="D43" s="40"/>
    </row>
    <row r="44" spans="1:14" ht="14.25" customHeight="1" x14ac:dyDescent="0.3">
      <c r="A44" s="33">
        <f t="shared" si="10"/>
        <v>15</v>
      </c>
      <c r="B44" s="28"/>
      <c r="C44" s="37"/>
      <c r="D44" s="28"/>
    </row>
    <row r="45" spans="1:14" ht="14.25" customHeight="1" x14ac:dyDescent="0.3">
      <c r="A45" s="33">
        <f t="shared" si="10"/>
        <v>16</v>
      </c>
      <c r="B45" s="28"/>
      <c r="C45" s="37"/>
      <c r="D45" s="40"/>
    </row>
    <row r="46" spans="1:14" ht="14.25" customHeight="1" x14ac:dyDescent="0.3">
      <c r="A46" s="33">
        <f t="shared" si="10"/>
        <v>17</v>
      </c>
      <c r="B46" s="34"/>
      <c r="C46" s="37"/>
      <c r="D46" s="40"/>
    </row>
    <row r="47" spans="1:14" ht="14.25" customHeight="1" x14ac:dyDescent="0.3">
      <c r="A47" s="33">
        <f t="shared" si="10"/>
        <v>18</v>
      </c>
      <c r="B47" s="35" t="s">
        <v>50</v>
      </c>
      <c r="C47" s="38">
        <f>SUM(C28:C46)-C32</f>
        <v>3850</v>
      </c>
      <c r="D47" s="41"/>
    </row>
    <row r="48" spans="1:14" ht="14.25" customHeight="1" x14ac:dyDescent="0.3">
      <c r="A48" s="33">
        <f t="shared" si="10"/>
        <v>19</v>
      </c>
      <c r="B48" s="36" t="s">
        <v>51</v>
      </c>
      <c r="C48" s="39">
        <f>E25-C47</f>
        <v>-3850</v>
      </c>
      <c r="D48" s="29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4">
    <mergeCell ref="A1:E1"/>
    <mergeCell ref="G1:K1"/>
    <mergeCell ref="A26:D26"/>
    <mergeCell ref="G26:N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0502-806C-43FF-B006-CFFB7A9FDBC3}">
  <sheetPr>
    <tabColor rgb="FFFF0000"/>
  </sheetPr>
  <dimension ref="A1:Q1011"/>
  <sheetViews>
    <sheetView zoomScale="85" zoomScaleNormal="85" workbookViewId="0">
      <selection activeCell="D7" sqref="D7"/>
    </sheetView>
  </sheetViews>
  <sheetFormatPr baseColWidth="10" defaultColWidth="14" defaultRowHeight="14.4" x14ac:dyDescent="0.3"/>
  <cols>
    <col min="1" max="1" width="5.44140625" customWidth="1"/>
    <col min="2" max="2" width="79.33203125" customWidth="1"/>
    <col min="3" max="3" width="11.6640625" customWidth="1"/>
    <col min="4" max="4" width="12.6640625" customWidth="1"/>
    <col min="5" max="5" width="14.109375" bestFit="1" customWidth="1"/>
    <col min="6" max="6" width="20.44140625" customWidth="1"/>
    <col min="7" max="7" width="10.6640625" customWidth="1"/>
    <col min="8" max="8" width="22.5546875" customWidth="1"/>
    <col min="9" max="9" width="5.88671875" customWidth="1"/>
    <col min="10" max="10" width="27.33203125" customWidth="1"/>
    <col min="11" max="11" width="8.88671875" customWidth="1"/>
    <col min="12" max="12" width="19.44140625" bestFit="1" customWidth="1"/>
    <col min="13" max="13" width="13" customWidth="1"/>
    <col min="14" max="14" width="11.6640625" customWidth="1"/>
    <col min="15" max="15" width="17.33203125" customWidth="1"/>
    <col min="16" max="16" width="7.6640625" customWidth="1"/>
    <col min="17" max="28" width="11.6640625" customWidth="1"/>
  </cols>
  <sheetData>
    <row r="1" spans="1:17" ht="14.25" customHeight="1" x14ac:dyDescent="0.3">
      <c r="A1" s="69" t="s">
        <v>0</v>
      </c>
      <c r="B1" s="70"/>
      <c r="C1" s="70"/>
      <c r="D1" s="70"/>
      <c r="E1" s="70"/>
      <c r="I1" s="69" t="s">
        <v>1</v>
      </c>
      <c r="J1" s="70"/>
      <c r="K1" s="70"/>
      <c r="L1" s="70"/>
      <c r="M1" s="70"/>
      <c r="O1" s="1" t="s">
        <v>2</v>
      </c>
    </row>
    <row r="2" spans="1:17" ht="14.25" customHeight="1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3" t="s">
        <v>79</v>
      </c>
      <c r="G2" s="23" t="s">
        <v>80</v>
      </c>
      <c r="H2" s="23" t="s">
        <v>81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O2" s="2">
        <f>E24+M24</f>
        <v>8757</v>
      </c>
    </row>
    <row r="3" spans="1:17" ht="14.25" customHeight="1" x14ac:dyDescent="0.3">
      <c r="A3" s="3">
        <v>1</v>
      </c>
      <c r="B3" s="4" t="s">
        <v>75</v>
      </c>
      <c r="C3" s="4">
        <v>45</v>
      </c>
      <c r="D3" s="5">
        <v>14</v>
      </c>
      <c r="E3" s="5">
        <f t="shared" ref="E3:E10" si="0">C3*D3</f>
        <v>630</v>
      </c>
      <c r="F3" s="5">
        <v>12</v>
      </c>
      <c r="G3" s="5">
        <v>17</v>
      </c>
      <c r="H3" s="5">
        <v>14</v>
      </c>
      <c r="I3" s="3">
        <v>1</v>
      </c>
      <c r="J3" s="4" t="s">
        <v>101</v>
      </c>
      <c r="K3" s="4">
        <v>1</v>
      </c>
      <c r="L3" s="45">
        <v>0</v>
      </c>
      <c r="M3" s="45">
        <f t="shared" ref="M3:M14" si="1">K3*L3</f>
        <v>0</v>
      </c>
    </row>
    <row r="4" spans="1:17" ht="14.25" customHeight="1" x14ac:dyDescent="0.3">
      <c r="A4" s="3">
        <f t="shared" ref="A4:A22" si="2">A3+1</f>
        <v>2</v>
      </c>
      <c r="B4" s="4" t="s">
        <v>74</v>
      </c>
      <c r="C4" s="4">
        <v>35</v>
      </c>
      <c r="D4" s="5">
        <v>14</v>
      </c>
      <c r="E4" s="5">
        <f t="shared" si="0"/>
        <v>490</v>
      </c>
      <c r="F4" s="5">
        <v>12</v>
      </c>
      <c r="G4" s="5">
        <v>18</v>
      </c>
      <c r="H4" s="5">
        <v>14</v>
      </c>
      <c r="I4" s="3">
        <f t="shared" ref="I4:I14" si="3">I3+1</f>
        <v>2</v>
      </c>
      <c r="J4" s="4" t="s">
        <v>64</v>
      </c>
      <c r="K4" s="4">
        <v>50</v>
      </c>
      <c r="L4" s="45">
        <v>28.8</v>
      </c>
      <c r="M4" s="45">
        <f t="shared" si="1"/>
        <v>1440</v>
      </c>
    </row>
    <row r="5" spans="1:17" ht="14.25" customHeight="1" x14ac:dyDescent="0.3">
      <c r="A5" s="7">
        <f t="shared" si="2"/>
        <v>3</v>
      </c>
      <c r="B5" s="4" t="s">
        <v>76</v>
      </c>
      <c r="C5" s="4">
        <v>240</v>
      </c>
      <c r="D5" s="5">
        <v>12</v>
      </c>
      <c r="E5" s="5">
        <f t="shared" si="0"/>
        <v>2880</v>
      </c>
      <c r="F5" s="5">
        <v>12</v>
      </c>
      <c r="G5" s="5">
        <v>14</v>
      </c>
      <c r="H5" s="5">
        <v>12</v>
      </c>
      <c r="I5" s="3">
        <f t="shared" si="3"/>
        <v>3</v>
      </c>
      <c r="J5" s="4" t="s">
        <v>102</v>
      </c>
      <c r="K5" s="4">
        <v>1</v>
      </c>
      <c r="L5" s="45">
        <v>0</v>
      </c>
      <c r="M5" s="45">
        <f t="shared" si="1"/>
        <v>0</v>
      </c>
    </row>
    <row r="6" spans="1:17" ht="14.25" customHeight="1" x14ac:dyDescent="0.3">
      <c r="A6" s="3">
        <f t="shared" si="2"/>
        <v>4</v>
      </c>
      <c r="B6" s="4" t="s">
        <v>77</v>
      </c>
      <c r="C6" s="4">
        <v>40</v>
      </c>
      <c r="D6" s="5">
        <v>12</v>
      </c>
      <c r="E6" s="5">
        <f t="shared" si="0"/>
        <v>480</v>
      </c>
      <c r="F6" s="5">
        <v>12</v>
      </c>
      <c r="G6" s="5">
        <v>13</v>
      </c>
      <c r="H6" s="5">
        <v>10</v>
      </c>
      <c r="I6" s="3">
        <f t="shared" si="3"/>
        <v>4</v>
      </c>
      <c r="J6" s="4" t="s">
        <v>103</v>
      </c>
      <c r="K6" s="4">
        <v>30</v>
      </c>
      <c r="L6" s="45">
        <v>1.8</v>
      </c>
      <c r="M6" s="45">
        <f t="shared" si="1"/>
        <v>54</v>
      </c>
    </row>
    <row r="7" spans="1:17" ht="14.25" customHeight="1" x14ac:dyDescent="0.3">
      <c r="A7" s="3">
        <f t="shared" si="2"/>
        <v>5</v>
      </c>
      <c r="B7" s="4" t="s">
        <v>72</v>
      </c>
      <c r="C7" s="4">
        <v>9</v>
      </c>
      <c r="D7" s="5">
        <v>35</v>
      </c>
      <c r="E7" s="5">
        <f t="shared" si="0"/>
        <v>315</v>
      </c>
      <c r="F7" s="5">
        <v>35</v>
      </c>
      <c r="G7" s="5">
        <v>50</v>
      </c>
      <c r="H7" s="5">
        <v>12</v>
      </c>
      <c r="I7" s="3">
        <f t="shared" si="3"/>
        <v>5</v>
      </c>
      <c r="J7" s="4" t="s">
        <v>68</v>
      </c>
      <c r="K7" s="4">
        <v>25</v>
      </c>
      <c r="L7" s="45">
        <v>2.8</v>
      </c>
      <c r="M7" s="45">
        <f t="shared" si="1"/>
        <v>70</v>
      </c>
    </row>
    <row r="8" spans="1:17" ht="14.25" customHeight="1" x14ac:dyDescent="0.3">
      <c r="A8" s="3">
        <f t="shared" si="2"/>
        <v>6</v>
      </c>
      <c r="B8" s="8" t="s">
        <v>107</v>
      </c>
      <c r="C8" s="4">
        <v>5</v>
      </c>
      <c r="D8" s="5">
        <v>150</v>
      </c>
      <c r="E8" s="5">
        <f t="shared" si="0"/>
        <v>750</v>
      </c>
      <c r="I8" s="3">
        <f t="shared" si="3"/>
        <v>6</v>
      </c>
      <c r="J8" s="4" t="s">
        <v>69</v>
      </c>
      <c r="K8" s="4">
        <v>25</v>
      </c>
      <c r="L8" s="45">
        <v>0.5</v>
      </c>
      <c r="M8" s="45">
        <f t="shared" si="1"/>
        <v>12.5</v>
      </c>
      <c r="O8" s="10"/>
    </row>
    <row r="9" spans="1:17" ht="14.25" customHeight="1" x14ac:dyDescent="0.3">
      <c r="A9" s="3">
        <f t="shared" si="2"/>
        <v>7</v>
      </c>
      <c r="B9" s="8" t="s">
        <v>106</v>
      </c>
      <c r="C9" s="4">
        <v>0.5</v>
      </c>
      <c r="D9" s="5">
        <v>500</v>
      </c>
      <c r="E9" s="5">
        <f t="shared" si="0"/>
        <v>250</v>
      </c>
      <c r="G9" s="5">
        <v>14</v>
      </c>
      <c r="I9" s="3">
        <f t="shared" si="3"/>
        <v>7</v>
      </c>
      <c r="J9" s="4" t="s">
        <v>99</v>
      </c>
      <c r="K9" s="4">
        <v>3</v>
      </c>
      <c r="L9" s="45">
        <v>0</v>
      </c>
      <c r="M9" s="45">
        <f t="shared" si="1"/>
        <v>0</v>
      </c>
      <c r="Q9" s="10"/>
    </row>
    <row r="10" spans="1:17" ht="14.25" customHeight="1" x14ac:dyDescent="0.3">
      <c r="A10" s="3">
        <f t="shared" si="2"/>
        <v>8</v>
      </c>
      <c r="B10" s="8" t="s">
        <v>108</v>
      </c>
      <c r="C10" s="4">
        <v>60</v>
      </c>
      <c r="D10" s="5">
        <v>12</v>
      </c>
      <c r="E10" s="5">
        <f t="shared" si="0"/>
        <v>720</v>
      </c>
      <c r="G10" s="5">
        <v>14</v>
      </c>
      <c r="I10" s="3">
        <f t="shared" si="3"/>
        <v>8</v>
      </c>
      <c r="J10" s="4" t="s">
        <v>100</v>
      </c>
      <c r="K10" s="4">
        <v>4</v>
      </c>
      <c r="L10" s="45">
        <v>0</v>
      </c>
      <c r="M10" s="45">
        <f t="shared" si="1"/>
        <v>0</v>
      </c>
    </row>
    <row r="11" spans="1:17" ht="14.25" customHeight="1" x14ac:dyDescent="0.3">
      <c r="A11" s="3">
        <f t="shared" si="2"/>
        <v>9</v>
      </c>
      <c r="B11" s="4"/>
      <c r="C11" s="4"/>
      <c r="D11" s="5"/>
      <c r="E11" s="5"/>
      <c r="G11" s="5">
        <v>12</v>
      </c>
      <c r="I11" s="3">
        <f t="shared" si="3"/>
        <v>9</v>
      </c>
      <c r="J11" s="4" t="s">
        <v>104</v>
      </c>
      <c r="K11" s="4">
        <v>500</v>
      </c>
      <c r="L11" s="45">
        <v>0.56100000000000005</v>
      </c>
      <c r="M11" s="45">
        <v>280</v>
      </c>
    </row>
    <row r="12" spans="1:17" ht="14.25" customHeight="1" x14ac:dyDescent="0.3">
      <c r="A12" s="3">
        <f t="shared" si="2"/>
        <v>10</v>
      </c>
      <c r="B12" s="4"/>
      <c r="C12" s="4"/>
      <c r="D12" s="5"/>
      <c r="E12" s="5"/>
      <c r="G12" s="5">
        <v>12</v>
      </c>
      <c r="I12" s="3">
        <f t="shared" si="3"/>
        <v>10</v>
      </c>
      <c r="J12" s="4" t="s">
        <v>55</v>
      </c>
      <c r="K12" s="4">
        <v>8</v>
      </c>
      <c r="L12" s="45">
        <v>38.5</v>
      </c>
      <c r="M12" s="45">
        <f t="shared" si="1"/>
        <v>308</v>
      </c>
    </row>
    <row r="13" spans="1:17" ht="14.25" customHeight="1" x14ac:dyDescent="0.3">
      <c r="A13" s="3">
        <f t="shared" si="2"/>
        <v>11</v>
      </c>
      <c r="B13" s="4"/>
      <c r="C13" s="4"/>
      <c r="D13" s="5"/>
      <c r="E13" s="5"/>
      <c r="G13" s="5">
        <v>35</v>
      </c>
      <c r="I13" s="3">
        <f t="shared" si="3"/>
        <v>11</v>
      </c>
      <c r="J13" s="4" t="s">
        <v>57</v>
      </c>
      <c r="K13" s="4">
        <v>5</v>
      </c>
      <c r="L13" s="45">
        <v>9.5</v>
      </c>
      <c r="M13" s="45">
        <f t="shared" si="1"/>
        <v>47.5</v>
      </c>
    </row>
    <row r="14" spans="1:17" ht="14.25" customHeight="1" x14ac:dyDescent="0.3">
      <c r="A14" s="3">
        <f t="shared" si="2"/>
        <v>12</v>
      </c>
      <c r="B14" s="4"/>
      <c r="C14" s="4"/>
      <c r="D14" s="5"/>
      <c r="E14" s="5"/>
      <c r="I14" s="3">
        <f t="shared" si="3"/>
        <v>12</v>
      </c>
      <c r="J14" s="4" t="s">
        <v>58</v>
      </c>
      <c r="K14" s="4">
        <v>5</v>
      </c>
      <c r="L14" s="45">
        <v>6</v>
      </c>
      <c r="M14" s="45">
        <f t="shared" si="1"/>
        <v>30</v>
      </c>
    </row>
    <row r="15" spans="1:17" ht="14.25" customHeight="1" x14ac:dyDescent="0.3">
      <c r="A15" s="3">
        <f t="shared" si="2"/>
        <v>13</v>
      </c>
      <c r="B15" s="4"/>
      <c r="C15" s="4"/>
      <c r="D15" s="5"/>
      <c r="E15" s="5"/>
      <c r="I15" s="3">
        <f t="shared" ref="I15:I24" si="4">I14+1</f>
        <v>13</v>
      </c>
      <c r="J15" s="4"/>
      <c r="K15" s="4"/>
      <c r="L15" s="5"/>
      <c r="M15" s="5"/>
    </row>
    <row r="16" spans="1:17" ht="14.25" customHeight="1" x14ac:dyDescent="0.3">
      <c r="A16" s="3">
        <f t="shared" si="2"/>
        <v>14</v>
      </c>
      <c r="B16" s="4"/>
      <c r="C16" s="4"/>
      <c r="D16" s="5"/>
      <c r="E16" s="5"/>
      <c r="I16" s="3">
        <f t="shared" si="4"/>
        <v>14</v>
      </c>
      <c r="J16" s="4"/>
      <c r="K16" s="8"/>
      <c r="L16" s="5"/>
      <c r="M16" s="2"/>
    </row>
    <row r="17" spans="1:16" ht="14.25" customHeight="1" x14ac:dyDescent="0.3">
      <c r="A17" s="3">
        <f t="shared" si="2"/>
        <v>15</v>
      </c>
      <c r="B17" s="4"/>
      <c r="C17" s="4"/>
      <c r="D17" s="5"/>
      <c r="E17" s="5"/>
      <c r="I17" s="3">
        <f t="shared" si="4"/>
        <v>15</v>
      </c>
      <c r="J17" s="4"/>
      <c r="K17" s="4"/>
      <c r="L17" s="5"/>
      <c r="M17" s="5"/>
    </row>
    <row r="18" spans="1:16" ht="14.25" customHeight="1" x14ac:dyDescent="0.3">
      <c r="A18" s="3">
        <f t="shared" si="2"/>
        <v>16</v>
      </c>
      <c r="B18" s="4"/>
      <c r="C18" s="4"/>
      <c r="D18" s="5"/>
      <c r="E18" s="5"/>
      <c r="I18" s="3">
        <f t="shared" si="4"/>
        <v>16</v>
      </c>
      <c r="J18" s="4"/>
      <c r="K18" s="4"/>
      <c r="L18" s="6"/>
      <c r="M18" s="5"/>
    </row>
    <row r="19" spans="1:16" ht="14.25" customHeight="1" x14ac:dyDescent="0.3">
      <c r="A19" s="3">
        <f t="shared" si="2"/>
        <v>17</v>
      </c>
      <c r="B19" s="4"/>
      <c r="C19" s="4"/>
      <c r="D19" s="5"/>
      <c r="E19" s="5"/>
      <c r="I19" s="3">
        <f t="shared" si="4"/>
        <v>17</v>
      </c>
      <c r="J19" s="4"/>
      <c r="K19" s="4"/>
      <c r="L19" s="5"/>
      <c r="M19" s="5"/>
    </row>
    <row r="20" spans="1:16" ht="14.25" customHeight="1" x14ac:dyDescent="0.3">
      <c r="A20" s="3">
        <f t="shared" si="2"/>
        <v>18</v>
      </c>
      <c r="B20" s="4"/>
      <c r="C20" s="4"/>
      <c r="D20" s="5"/>
      <c r="E20" s="5"/>
      <c r="I20" s="3">
        <f t="shared" si="4"/>
        <v>18</v>
      </c>
      <c r="J20" s="4"/>
      <c r="K20" s="12"/>
      <c r="L20" s="5"/>
      <c r="M20" s="5"/>
    </row>
    <row r="21" spans="1:16" ht="14.25" customHeight="1" x14ac:dyDescent="0.3">
      <c r="A21" s="3">
        <f t="shared" si="2"/>
        <v>19</v>
      </c>
      <c r="B21" s="4"/>
      <c r="C21" s="4"/>
      <c r="D21" s="5"/>
      <c r="E21" s="5"/>
      <c r="I21" s="3">
        <f t="shared" si="4"/>
        <v>19</v>
      </c>
      <c r="J21" s="4"/>
      <c r="K21" s="4"/>
      <c r="L21" s="5"/>
      <c r="M21" s="5"/>
    </row>
    <row r="22" spans="1:16" ht="14.25" customHeight="1" x14ac:dyDescent="0.3">
      <c r="A22" s="3">
        <f t="shared" si="2"/>
        <v>20</v>
      </c>
      <c r="B22" s="4"/>
      <c r="C22" s="4"/>
      <c r="D22" s="5"/>
      <c r="E22" s="5"/>
      <c r="I22" s="3">
        <f t="shared" si="4"/>
        <v>20</v>
      </c>
      <c r="J22" s="4"/>
      <c r="K22" s="4"/>
      <c r="L22" s="5"/>
      <c r="M22" s="5"/>
    </row>
    <row r="23" spans="1:16" ht="14.25" customHeight="1" x14ac:dyDescent="0.3">
      <c r="A23" s="3">
        <f t="shared" ref="A23:A24" si="5">A22+1</f>
        <v>21</v>
      </c>
      <c r="B23" s="1" t="s">
        <v>53</v>
      </c>
      <c r="C23" s="8"/>
      <c r="D23" s="5"/>
      <c r="E23" s="2"/>
      <c r="I23" s="3">
        <f t="shared" si="4"/>
        <v>21</v>
      </c>
      <c r="J23" s="1" t="s">
        <v>53</v>
      </c>
      <c r="K23" s="8"/>
      <c r="L23" s="5"/>
      <c r="M23" s="2"/>
    </row>
    <row r="24" spans="1:16" ht="14.25" customHeight="1" x14ac:dyDescent="0.3">
      <c r="A24" s="3">
        <f t="shared" si="5"/>
        <v>22</v>
      </c>
      <c r="B24" s="1" t="s">
        <v>25</v>
      </c>
      <c r="C24" s="4"/>
      <c r="D24" s="5"/>
      <c r="E24" s="2">
        <f>SUM(E3:E23)</f>
        <v>6515</v>
      </c>
      <c r="I24" s="3">
        <f t="shared" si="4"/>
        <v>22</v>
      </c>
      <c r="J24" s="1" t="s">
        <v>25</v>
      </c>
      <c r="K24" s="4"/>
      <c r="L24" s="5"/>
      <c r="M24" s="2">
        <f>SUM(M3:M23)</f>
        <v>2242</v>
      </c>
      <c r="N24" s="46">
        <f>M24/2</f>
        <v>1121</v>
      </c>
    </row>
    <row r="25" spans="1:16" ht="14.25" customHeight="1" x14ac:dyDescent="0.3"/>
    <row r="26" spans="1:16" ht="14.25" customHeight="1" x14ac:dyDescent="0.3">
      <c r="A26" s="69" t="s">
        <v>26</v>
      </c>
      <c r="B26" s="70"/>
      <c r="C26" s="70"/>
      <c r="D26" s="70"/>
      <c r="I26" s="71" t="s">
        <v>27</v>
      </c>
      <c r="J26" s="70"/>
      <c r="K26" s="70"/>
      <c r="L26" s="70"/>
      <c r="M26" s="70"/>
      <c r="N26" s="70"/>
      <c r="O26" s="70"/>
      <c r="P26" s="70"/>
    </row>
    <row r="27" spans="1:16" ht="14.25" customHeight="1" x14ac:dyDescent="0.3">
      <c r="A27" s="13" t="s">
        <v>3</v>
      </c>
      <c r="B27" s="13" t="s">
        <v>4</v>
      </c>
      <c r="C27" s="13" t="s">
        <v>28</v>
      </c>
      <c r="D27" s="13" t="s">
        <v>29</v>
      </c>
      <c r="I27" s="1" t="s">
        <v>3</v>
      </c>
      <c r="J27" s="1" t="s">
        <v>30</v>
      </c>
      <c r="K27" s="1" t="s">
        <v>5</v>
      </c>
      <c r="L27" s="1" t="s">
        <v>31</v>
      </c>
      <c r="M27" s="1" t="s">
        <v>32</v>
      </c>
      <c r="N27" s="1" t="s">
        <v>29</v>
      </c>
      <c r="O27" s="1" t="s">
        <v>33</v>
      </c>
      <c r="P27" s="1" t="s">
        <v>34</v>
      </c>
    </row>
    <row r="28" spans="1:16" ht="14.25" customHeight="1" x14ac:dyDescent="0.3">
      <c r="A28" s="3">
        <v>1</v>
      </c>
      <c r="B28" s="14" t="s">
        <v>97</v>
      </c>
      <c r="C28" s="5">
        <v>500</v>
      </c>
      <c r="D28" s="15">
        <v>45565</v>
      </c>
      <c r="E28" s="46"/>
      <c r="I28" s="7">
        <v>1</v>
      </c>
      <c r="J28" s="16" t="s">
        <v>109</v>
      </c>
      <c r="K28" s="16">
        <v>1</v>
      </c>
      <c r="L28" s="17">
        <v>1121</v>
      </c>
      <c r="M28" s="17">
        <f>K28*L28</f>
        <v>1121</v>
      </c>
      <c r="N28" s="18">
        <v>45581</v>
      </c>
      <c r="O28" s="7"/>
      <c r="P28" s="7"/>
    </row>
    <row r="29" spans="1:16" ht="14.25" customHeight="1" x14ac:dyDescent="0.3">
      <c r="A29" s="3">
        <f t="shared" ref="A29:A38" si="6">A28+1</f>
        <v>2</v>
      </c>
      <c r="B29" s="14" t="s">
        <v>98</v>
      </c>
      <c r="C29" s="5">
        <v>42</v>
      </c>
      <c r="D29" s="15">
        <v>45565</v>
      </c>
      <c r="I29" s="3">
        <f t="shared" ref="I29:I36" si="7">I28+1</f>
        <v>2</v>
      </c>
      <c r="J29" s="16" t="s">
        <v>123</v>
      </c>
      <c r="K29" s="16">
        <v>1</v>
      </c>
      <c r="L29" s="17">
        <v>1121</v>
      </c>
      <c r="M29" s="17">
        <f>K29*L29</f>
        <v>1121</v>
      </c>
      <c r="N29" s="18">
        <v>45596</v>
      </c>
      <c r="O29" s="3"/>
      <c r="P29" s="3"/>
    </row>
    <row r="30" spans="1:16" ht="14.25" customHeight="1" x14ac:dyDescent="0.3">
      <c r="A30" s="3">
        <f t="shared" si="6"/>
        <v>3</v>
      </c>
      <c r="B30" s="14" t="s">
        <v>105</v>
      </c>
      <c r="C30" s="5">
        <v>500</v>
      </c>
      <c r="D30" s="15">
        <v>45580</v>
      </c>
      <c r="I30" s="3">
        <f t="shared" si="7"/>
        <v>3</v>
      </c>
      <c r="J30" s="4"/>
      <c r="K30" s="4"/>
      <c r="L30" s="5"/>
      <c r="M30" s="5"/>
      <c r="N30" s="15"/>
      <c r="O30" s="3"/>
      <c r="P30" s="3"/>
    </row>
    <row r="31" spans="1:16" ht="14.25" customHeight="1" x14ac:dyDescent="0.3">
      <c r="A31" s="3">
        <f t="shared" si="6"/>
        <v>4</v>
      </c>
      <c r="B31" s="19" t="s">
        <v>110</v>
      </c>
      <c r="C31" s="5">
        <v>12.5</v>
      </c>
      <c r="D31" s="15">
        <v>45581</v>
      </c>
      <c r="F31" s="46"/>
      <c r="I31" s="3">
        <f t="shared" si="7"/>
        <v>4</v>
      </c>
      <c r="J31" s="4"/>
      <c r="K31" s="4"/>
      <c r="L31" s="6"/>
      <c r="M31" s="5"/>
      <c r="N31" s="15"/>
      <c r="O31" s="3"/>
      <c r="P31" s="3"/>
    </row>
    <row r="32" spans="1:16" ht="14.25" customHeight="1" x14ac:dyDescent="0.3">
      <c r="A32" s="3">
        <f t="shared" si="6"/>
        <v>5</v>
      </c>
      <c r="B32" s="19" t="s">
        <v>111</v>
      </c>
      <c r="C32" s="5">
        <v>9</v>
      </c>
      <c r="D32" s="15">
        <v>45581</v>
      </c>
      <c r="I32" s="3">
        <f t="shared" si="7"/>
        <v>5</v>
      </c>
      <c r="J32" s="4"/>
      <c r="K32" s="4"/>
      <c r="L32" s="6"/>
      <c r="M32" s="5"/>
      <c r="N32" s="15"/>
      <c r="O32" s="3"/>
      <c r="P32" s="3"/>
    </row>
    <row r="33" spans="1:16" ht="14.25" customHeight="1" x14ac:dyDescent="0.3">
      <c r="A33" s="3">
        <f t="shared" si="6"/>
        <v>6</v>
      </c>
      <c r="B33" s="14" t="s">
        <v>105</v>
      </c>
      <c r="C33" s="5">
        <v>200</v>
      </c>
      <c r="D33" s="15">
        <v>45583</v>
      </c>
      <c r="I33" s="3">
        <f t="shared" si="7"/>
        <v>6</v>
      </c>
      <c r="J33" s="4"/>
      <c r="K33" s="4"/>
      <c r="L33" s="6"/>
      <c r="M33" s="5"/>
      <c r="N33" s="15"/>
      <c r="O33" s="3"/>
      <c r="P33" s="3"/>
    </row>
    <row r="34" spans="1:16" ht="14.25" customHeight="1" x14ac:dyDescent="0.3">
      <c r="A34" s="3">
        <f t="shared" si="6"/>
        <v>7</v>
      </c>
      <c r="B34" s="14" t="s">
        <v>105</v>
      </c>
      <c r="C34" s="5">
        <v>20</v>
      </c>
      <c r="D34" s="15">
        <v>45583</v>
      </c>
      <c r="I34" s="3">
        <f t="shared" si="7"/>
        <v>7</v>
      </c>
      <c r="J34" s="4"/>
      <c r="K34" s="4"/>
      <c r="L34" s="6"/>
      <c r="M34" s="5"/>
      <c r="N34" s="15"/>
      <c r="O34" s="3"/>
      <c r="P34" s="3"/>
    </row>
    <row r="35" spans="1:16" ht="14.25" customHeight="1" x14ac:dyDescent="0.3">
      <c r="A35" s="3">
        <f t="shared" si="6"/>
        <v>8</v>
      </c>
      <c r="B35" s="55" t="s">
        <v>116</v>
      </c>
      <c r="C35" s="5">
        <v>897</v>
      </c>
      <c r="D35" s="15">
        <v>45584</v>
      </c>
      <c r="I35" s="3">
        <f t="shared" si="7"/>
        <v>8</v>
      </c>
      <c r="J35" s="16"/>
      <c r="K35" s="16"/>
      <c r="L35" s="17"/>
      <c r="M35" s="17"/>
      <c r="N35" s="9"/>
      <c r="O35" s="9"/>
      <c r="P35" s="9"/>
    </row>
    <row r="36" spans="1:16" ht="14.25" customHeight="1" x14ac:dyDescent="0.3">
      <c r="A36" s="3">
        <f t="shared" si="6"/>
        <v>9</v>
      </c>
      <c r="B36" s="19" t="s">
        <v>112</v>
      </c>
      <c r="C36" s="5">
        <v>250</v>
      </c>
      <c r="D36" s="15">
        <v>45590</v>
      </c>
      <c r="I36" s="3">
        <f t="shared" si="7"/>
        <v>9</v>
      </c>
      <c r="J36" s="4"/>
      <c r="K36" s="16"/>
      <c r="L36" s="17"/>
      <c r="M36" s="17"/>
      <c r="N36" s="9"/>
      <c r="O36" s="9"/>
      <c r="P36" s="9"/>
    </row>
    <row r="37" spans="1:16" ht="14.25" customHeight="1" x14ac:dyDescent="0.3">
      <c r="A37" s="3">
        <f t="shared" si="6"/>
        <v>10</v>
      </c>
      <c r="B37" s="19" t="s">
        <v>113</v>
      </c>
      <c r="C37" s="5">
        <v>28</v>
      </c>
      <c r="D37" s="15">
        <v>45584</v>
      </c>
      <c r="I37" s="3"/>
      <c r="J37" s="9"/>
      <c r="K37" s="9"/>
      <c r="L37" s="9"/>
      <c r="M37" s="9"/>
      <c r="N37" s="9"/>
      <c r="O37" s="9"/>
      <c r="P37" s="9"/>
    </row>
    <row r="38" spans="1:16" ht="14.25" customHeight="1" x14ac:dyDescent="0.3">
      <c r="A38" s="3">
        <f t="shared" si="6"/>
        <v>11</v>
      </c>
      <c r="B38" s="47" t="s">
        <v>115</v>
      </c>
      <c r="C38" s="25">
        <v>7</v>
      </c>
      <c r="D38" s="18">
        <v>45590</v>
      </c>
      <c r="I38" s="3"/>
      <c r="J38" s="9"/>
      <c r="K38" s="9"/>
      <c r="L38" s="9"/>
      <c r="M38" s="9"/>
      <c r="N38" s="9"/>
      <c r="O38" s="9"/>
      <c r="P38" s="9"/>
    </row>
    <row r="39" spans="1:16" ht="14.25" customHeight="1" x14ac:dyDescent="0.3">
      <c r="A39" s="48">
        <f>A36+1</f>
        <v>10</v>
      </c>
      <c r="B39" s="26" t="s">
        <v>114</v>
      </c>
      <c r="C39" s="27">
        <v>0</v>
      </c>
      <c r="D39" s="50"/>
      <c r="I39" s="3">
        <f>I36+1</f>
        <v>10</v>
      </c>
      <c r="J39" s="9"/>
      <c r="K39" s="9"/>
      <c r="L39" s="9"/>
      <c r="M39" s="9"/>
      <c r="N39" s="9"/>
      <c r="O39" s="9"/>
      <c r="P39" s="9"/>
    </row>
    <row r="40" spans="1:16" ht="14.25" customHeight="1" x14ac:dyDescent="0.3">
      <c r="A40" s="48">
        <f t="shared" ref="A40:A83" si="8">A39+1</f>
        <v>11</v>
      </c>
      <c r="B40" s="26" t="s">
        <v>112</v>
      </c>
      <c r="C40" s="27">
        <v>300</v>
      </c>
      <c r="D40" s="51">
        <v>45591</v>
      </c>
      <c r="I40" s="3">
        <f t="shared" ref="I40:I41" si="9">I39+1</f>
        <v>11</v>
      </c>
      <c r="J40" s="9"/>
      <c r="K40" s="9"/>
      <c r="L40" s="9"/>
      <c r="M40" s="9"/>
      <c r="N40" s="9"/>
      <c r="O40" s="9"/>
      <c r="P40" s="9"/>
    </row>
    <row r="41" spans="1:16" ht="14.25" customHeight="1" x14ac:dyDescent="0.3">
      <c r="A41" s="48">
        <f t="shared" si="8"/>
        <v>12</v>
      </c>
      <c r="B41" s="53" t="s">
        <v>119</v>
      </c>
      <c r="C41" s="27">
        <v>430</v>
      </c>
      <c r="D41" s="51">
        <v>45592</v>
      </c>
      <c r="I41" s="3">
        <f t="shared" si="9"/>
        <v>12</v>
      </c>
      <c r="J41" s="1" t="s">
        <v>50</v>
      </c>
      <c r="K41" s="4"/>
      <c r="L41" s="5"/>
      <c r="M41" s="2">
        <f>SUM(M28:M40)</f>
        <v>2242</v>
      </c>
      <c r="N41" s="9"/>
      <c r="O41" s="9"/>
      <c r="P41" s="9"/>
    </row>
    <row r="42" spans="1:16" ht="14.25" customHeight="1" x14ac:dyDescent="0.3">
      <c r="A42" s="48">
        <f t="shared" si="8"/>
        <v>13</v>
      </c>
      <c r="B42" s="26" t="s">
        <v>120</v>
      </c>
      <c r="C42" s="27">
        <v>9</v>
      </c>
      <c r="D42" s="52">
        <v>45595</v>
      </c>
      <c r="I42" s="9"/>
      <c r="J42" s="1" t="s">
        <v>51</v>
      </c>
      <c r="K42" s="9"/>
      <c r="L42" s="9"/>
      <c r="M42" s="2">
        <f>M24-M41</f>
        <v>0</v>
      </c>
      <c r="N42" s="9"/>
      <c r="O42" s="9"/>
      <c r="P42" s="9"/>
    </row>
    <row r="43" spans="1:16" ht="14.25" customHeight="1" x14ac:dyDescent="0.3">
      <c r="A43" s="48">
        <f t="shared" si="8"/>
        <v>14</v>
      </c>
      <c r="B43" s="26" t="s">
        <v>120</v>
      </c>
      <c r="C43" s="27">
        <v>9</v>
      </c>
      <c r="D43" s="52">
        <v>45595</v>
      </c>
    </row>
    <row r="44" spans="1:16" ht="14.25" customHeight="1" x14ac:dyDescent="0.3">
      <c r="A44" s="48">
        <f t="shared" si="8"/>
        <v>15</v>
      </c>
      <c r="B44" s="26" t="s">
        <v>121</v>
      </c>
      <c r="C44" s="27">
        <v>15</v>
      </c>
      <c r="D44" s="51">
        <v>45597</v>
      </c>
    </row>
    <row r="45" spans="1:16" ht="14.25" customHeight="1" x14ac:dyDescent="0.3">
      <c r="A45" s="48">
        <f t="shared" si="8"/>
        <v>16</v>
      </c>
      <c r="B45" s="26" t="s">
        <v>122</v>
      </c>
      <c r="C45" s="27">
        <v>297</v>
      </c>
      <c r="D45" s="51">
        <v>45597</v>
      </c>
      <c r="L45" s="54">
        <v>1</v>
      </c>
    </row>
    <row r="46" spans="1:16" ht="14.25" customHeight="1" x14ac:dyDescent="0.3">
      <c r="A46" s="48">
        <f t="shared" si="8"/>
        <v>17</v>
      </c>
      <c r="B46" s="53" t="s">
        <v>124</v>
      </c>
      <c r="C46" s="27">
        <v>356</v>
      </c>
      <c r="D46" s="51">
        <v>45592</v>
      </c>
      <c r="J46" s="46">
        <f>SUM(C36:C40)</f>
        <v>585</v>
      </c>
      <c r="L46" t="s">
        <v>117</v>
      </c>
      <c r="M46">
        <v>55</v>
      </c>
      <c r="N46">
        <v>12</v>
      </c>
      <c r="O46">
        <f>M46*N46</f>
        <v>660</v>
      </c>
    </row>
    <row r="47" spans="1:16" ht="14.25" customHeight="1" x14ac:dyDescent="0.3">
      <c r="A47" s="48">
        <f t="shared" si="8"/>
        <v>18</v>
      </c>
      <c r="B47" s="26" t="s">
        <v>125</v>
      </c>
      <c r="C47" s="5">
        <v>5</v>
      </c>
      <c r="D47" s="15">
        <v>45599</v>
      </c>
      <c r="J47">
        <v>100</v>
      </c>
      <c r="L47" t="s">
        <v>72</v>
      </c>
      <c r="M47">
        <v>5</v>
      </c>
      <c r="N47">
        <v>35</v>
      </c>
      <c r="O47">
        <f t="shared" ref="O47:O48" si="10">M47*N47</f>
        <v>175</v>
      </c>
    </row>
    <row r="48" spans="1:16" ht="14.25" customHeight="1" x14ac:dyDescent="0.3">
      <c r="A48" s="56">
        <f t="shared" si="8"/>
        <v>19</v>
      </c>
      <c r="B48" s="57" t="s">
        <v>126</v>
      </c>
      <c r="C48" s="25">
        <v>9</v>
      </c>
      <c r="D48" s="15">
        <v>45609</v>
      </c>
      <c r="L48" t="s">
        <v>118</v>
      </c>
      <c r="M48">
        <v>20</v>
      </c>
      <c r="N48">
        <v>14</v>
      </c>
      <c r="O48">
        <f t="shared" si="10"/>
        <v>280</v>
      </c>
    </row>
    <row r="49" spans="1:16" ht="14.25" customHeight="1" x14ac:dyDescent="0.3">
      <c r="A49" s="33">
        <f t="shared" si="8"/>
        <v>20</v>
      </c>
      <c r="B49" s="26" t="s">
        <v>127</v>
      </c>
      <c r="C49" s="27">
        <v>7</v>
      </c>
      <c r="D49" s="15">
        <v>45608</v>
      </c>
      <c r="L49" s="54">
        <v>2</v>
      </c>
      <c r="O49">
        <f>SUM(O46:O48)</f>
        <v>1115</v>
      </c>
    </row>
    <row r="50" spans="1:16" ht="14.25" customHeight="1" x14ac:dyDescent="0.3">
      <c r="A50" s="33">
        <f t="shared" si="8"/>
        <v>21</v>
      </c>
      <c r="B50" s="53" t="s">
        <v>129</v>
      </c>
      <c r="C50" s="27">
        <v>559</v>
      </c>
      <c r="D50" s="40">
        <v>45612</v>
      </c>
      <c r="E50" s="54" t="s">
        <v>130</v>
      </c>
      <c r="L50" t="s">
        <v>117</v>
      </c>
      <c r="M50">
        <v>28</v>
      </c>
      <c r="N50">
        <v>12</v>
      </c>
      <c r="O50">
        <f>M50*N50</f>
        <v>336</v>
      </c>
    </row>
    <row r="51" spans="1:16" ht="14.25" customHeight="1" x14ac:dyDescent="0.3">
      <c r="A51" s="33">
        <f t="shared" si="8"/>
        <v>22</v>
      </c>
      <c r="B51" s="26" t="s">
        <v>131</v>
      </c>
      <c r="C51" s="27">
        <v>5</v>
      </c>
      <c r="D51" s="40">
        <v>45615</v>
      </c>
      <c r="L51" t="s">
        <v>72</v>
      </c>
      <c r="M51">
        <v>4</v>
      </c>
      <c r="N51">
        <v>35</v>
      </c>
      <c r="O51">
        <f t="shared" ref="O51:O52" si="11">M51*N51</f>
        <v>140</v>
      </c>
    </row>
    <row r="52" spans="1:16" ht="14.25" customHeight="1" x14ac:dyDescent="0.3">
      <c r="A52" s="33">
        <f t="shared" si="8"/>
        <v>23</v>
      </c>
      <c r="B52" s="26" t="s">
        <v>112</v>
      </c>
      <c r="C52" s="27">
        <v>100</v>
      </c>
      <c r="D52" s="40">
        <v>45616</v>
      </c>
      <c r="L52" t="s">
        <v>118</v>
      </c>
      <c r="M52">
        <v>15</v>
      </c>
      <c r="N52">
        <v>14</v>
      </c>
      <c r="O52">
        <f t="shared" si="11"/>
        <v>210</v>
      </c>
    </row>
    <row r="53" spans="1:16" ht="14.25" customHeight="1" x14ac:dyDescent="0.3">
      <c r="A53" s="33">
        <f t="shared" si="8"/>
        <v>24</v>
      </c>
      <c r="B53" s="26" t="s">
        <v>132</v>
      </c>
      <c r="C53" s="27">
        <v>8</v>
      </c>
      <c r="D53" s="40"/>
      <c r="O53">
        <f>SUM(O50:O52)</f>
        <v>686</v>
      </c>
    </row>
    <row r="54" spans="1:16" ht="14.25" customHeight="1" x14ac:dyDescent="0.3">
      <c r="A54" s="33">
        <f t="shared" si="8"/>
        <v>25</v>
      </c>
      <c r="B54" s="26" t="s">
        <v>133</v>
      </c>
      <c r="C54" s="27">
        <v>8.5</v>
      </c>
      <c r="D54" s="40"/>
      <c r="J54" s="46">
        <f>SUM(J46:J53)</f>
        <v>685</v>
      </c>
      <c r="L54" t="s">
        <v>128</v>
      </c>
      <c r="N54">
        <v>12</v>
      </c>
      <c r="O54" s="46">
        <v>40</v>
      </c>
      <c r="P54" s="46">
        <f>N54*O54</f>
        <v>480</v>
      </c>
    </row>
    <row r="55" spans="1:16" ht="14.25" customHeight="1" x14ac:dyDescent="0.3">
      <c r="A55" s="33">
        <f t="shared" si="8"/>
        <v>26</v>
      </c>
      <c r="B55" s="58" t="s">
        <v>153</v>
      </c>
      <c r="C55" s="27">
        <v>1053</v>
      </c>
      <c r="D55" s="40">
        <v>45619</v>
      </c>
      <c r="E55" s="54" t="s">
        <v>139</v>
      </c>
      <c r="F55" s="54" t="s">
        <v>155</v>
      </c>
      <c r="H55" s="54" t="s">
        <v>146</v>
      </c>
      <c r="J55" s="46">
        <f>O49-J54</f>
        <v>430</v>
      </c>
      <c r="L55" t="s">
        <v>8</v>
      </c>
      <c r="N55">
        <v>5</v>
      </c>
      <c r="O55" s="46">
        <v>50</v>
      </c>
      <c r="P55" s="46">
        <f>N55*O55</f>
        <v>250</v>
      </c>
    </row>
    <row r="56" spans="1:16" ht="14.25" customHeight="1" x14ac:dyDescent="0.3">
      <c r="A56" s="33">
        <f t="shared" si="8"/>
        <v>27</v>
      </c>
      <c r="B56" s="28" t="s">
        <v>152</v>
      </c>
      <c r="C56" s="27">
        <v>47</v>
      </c>
      <c r="D56" s="40">
        <v>45620</v>
      </c>
      <c r="F56" t="s">
        <v>140</v>
      </c>
      <c r="H56" t="s">
        <v>177</v>
      </c>
      <c r="I56">
        <v>200</v>
      </c>
      <c r="J56">
        <v>250</v>
      </c>
      <c r="P56" s="46">
        <f>SUM(P54:P55)</f>
        <v>730</v>
      </c>
    </row>
    <row r="57" spans="1:16" ht="14.25" customHeight="1" x14ac:dyDescent="0.3">
      <c r="A57" s="33">
        <f t="shared" si="8"/>
        <v>28</v>
      </c>
      <c r="B57" s="28" t="s">
        <v>112</v>
      </c>
      <c r="C57" s="27">
        <v>100</v>
      </c>
      <c r="D57" s="40">
        <v>45620</v>
      </c>
      <c r="F57" t="s">
        <v>141</v>
      </c>
      <c r="H57" t="s">
        <v>147</v>
      </c>
      <c r="I57">
        <v>250</v>
      </c>
      <c r="K57">
        <v>15</v>
      </c>
      <c r="P57">
        <v>-21</v>
      </c>
    </row>
    <row r="58" spans="1:16" ht="14.25" customHeight="1" x14ac:dyDescent="0.3">
      <c r="A58" s="33">
        <f t="shared" si="8"/>
        <v>29</v>
      </c>
      <c r="B58" s="28" t="s">
        <v>112</v>
      </c>
      <c r="C58" s="27">
        <v>50</v>
      </c>
      <c r="D58" s="40">
        <v>45623</v>
      </c>
      <c r="F58" t="s">
        <v>142</v>
      </c>
      <c r="H58" t="s">
        <v>148</v>
      </c>
      <c r="I58">
        <f>7*55</f>
        <v>385</v>
      </c>
      <c r="K58">
        <v>15</v>
      </c>
      <c r="L58" t="s">
        <v>134</v>
      </c>
      <c r="M58">
        <v>250</v>
      </c>
      <c r="P58">
        <v>-150</v>
      </c>
    </row>
    <row r="59" spans="1:16" ht="14.25" customHeight="1" x14ac:dyDescent="0.3">
      <c r="A59" s="33">
        <f t="shared" si="8"/>
        <v>30</v>
      </c>
      <c r="B59" s="28" t="s">
        <v>154</v>
      </c>
      <c r="C59" s="27">
        <v>296</v>
      </c>
      <c r="D59" s="40">
        <v>45625</v>
      </c>
      <c r="F59" t="s">
        <v>143</v>
      </c>
      <c r="H59" t="s">
        <v>149</v>
      </c>
      <c r="I59">
        <v>144</v>
      </c>
      <c r="K59">
        <f>K57*K58</f>
        <v>225</v>
      </c>
      <c r="L59" t="s">
        <v>137</v>
      </c>
      <c r="M59">
        <v>225</v>
      </c>
      <c r="P59" s="46">
        <f>SUM(P56:P58)</f>
        <v>559</v>
      </c>
    </row>
    <row r="60" spans="1:16" ht="14.25" customHeight="1" x14ac:dyDescent="0.3">
      <c r="A60" s="33">
        <f t="shared" si="8"/>
        <v>31</v>
      </c>
      <c r="B60" s="28" t="s">
        <v>156</v>
      </c>
      <c r="C60" s="27">
        <v>800</v>
      </c>
      <c r="D60" s="40">
        <v>45633</v>
      </c>
      <c r="F60" t="s">
        <v>144</v>
      </c>
      <c r="H60" t="s">
        <v>150</v>
      </c>
      <c r="I60">
        <v>600</v>
      </c>
      <c r="L60" t="s">
        <v>136</v>
      </c>
      <c r="M60">
        <v>120</v>
      </c>
    </row>
    <row r="61" spans="1:16" ht="14.25" customHeight="1" x14ac:dyDescent="0.3">
      <c r="A61" s="33">
        <f t="shared" si="8"/>
        <v>32</v>
      </c>
      <c r="B61" s="28" t="s">
        <v>131</v>
      </c>
      <c r="C61" s="27">
        <v>5</v>
      </c>
      <c r="D61" s="40">
        <v>45636</v>
      </c>
      <c r="F61" t="s">
        <v>145</v>
      </c>
      <c r="I61" s="54">
        <f>SUM(I56:I60)</f>
        <v>1579</v>
      </c>
      <c r="L61" t="s">
        <v>135</v>
      </c>
      <c r="M61">
        <v>400</v>
      </c>
    </row>
    <row r="62" spans="1:16" ht="14.25" customHeight="1" x14ac:dyDescent="0.3">
      <c r="A62" s="33">
        <f t="shared" si="8"/>
        <v>33</v>
      </c>
      <c r="B62" s="28" t="s">
        <v>161</v>
      </c>
      <c r="C62" s="27">
        <v>200</v>
      </c>
      <c r="D62" s="40">
        <v>45640</v>
      </c>
      <c r="F62" t="s">
        <v>151</v>
      </c>
      <c r="L62" t="s">
        <v>138</v>
      </c>
      <c r="M62">
        <v>80</v>
      </c>
    </row>
    <row r="63" spans="1:16" ht="14.25" customHeight="1" x14ac:dyDescent="0.3">
      <c r="A63" s="33">
        <f t="shared" si="8"/>
        <v>34</v>
      </c>
      <c r="B63" s="28" t="s">
        <v>105</v>
      </c>
      <c r="C63" s="27">
        <v>180</v>
      </c>
      <c r="D63" s="40">
        <v>45613</v>
      </c>
      <c r="G63" s="54">
        <v>1200</v>
      </c>
      <c r="M63">
        <f>SUM(M58:M62)</f>
        <v>1075</v>
      </c>
    </row>
    <row r="64" spans="1:16" ht="14.25" customHeight="1" x14ac:dyDescent="0.3">
      <c r="A64" s="33">
        <f t="shared" si="8"/>
        <v>35</v>
      </c>
      <c r="B64" s="28" t="s">
        <v>113</v>
      </c>
      <c r="C64" s="27">
        <v>30</v>
      </c>
      <c r="D64" s="40">
        <v>45646</v>
      </c>
      <c r="M64">
        <v>22</v>
      </c>
    </row>
    <row r="65" spans="1:13" ht="14.25" customHeight="1" x14ac:dyDescent="0.3">
      <c r="A65" s="33">
        <f t="shared" si="8"/>
        <v>36</v>
      </c>
      <c r="B65" s="28" t="s">
        <v>105</v>
      </c>
      <c r="C65" s="27">
        <v>500</v>
      </c>
      <c r="D65" s="40">
        <v>45650</v>
      </c>
      <c r="M65">
        <f>M63-M64</f>
        <v>1053</v>
      </c>
    </row>
    <row r="66" spans="1:13" ht="14.25" customHeight="1" x14ac:dyDescent="0.3">
      <c r="A66" s="33">
        <f t="shared" si="8"/>
        <v>37</v>
      </c>
      <c r="B66" s="28" t="s">
        <v>105</v>
      </c>
      <c r="C66" s="27">
        <v>584</v>
      </c>
      <c r="D66" s="40">
        <v>45652</v>
      </c>
    </row>
    <row r="67" spans="1:13" ht="14.25" customHeight="1" x14ac:dyDescent="0.3">
      <c r="A67" s="33">
        <f t="shared" si="8"/>
        <v>38</v>
      </c>
      <c r="B67" s="28" t="s">
        <v>162</v>
      </c>
      <c r="C67" s="27">
        <v>6</v>
      </c>
      <c r="D67" s="40">
        <v>45652</v>
      </c>
    </row>
    <row r="68" spans="1:13" ht="14.25" customHeight="1" x14ac:dyDescent="0.3">
      <c r="A68" s="33">
        <f t="shared" si="8"/>
        <v>39</v>
      </c>
      <c r="B68" s="28" t="s">
        <v>163</v>
      </c>
      <c r="C68" s="27">
        <v>160</v>
      </c>
      <c r="D68" s="40">
        <v>45655</v>
      </c>
      <c r="I68" s="54">
        <v>3240</v>
      </c>
      <c r="J68" s="54" t="s">
        <v>176</v>
      </c>
      <c r="K68">
        <v>3690</v>
      </c>
    </row>
    <row r="69" spans="1:13" ht="14.25" customHeight="1" x14ac:dyDescent="0.3">
      <c r="A69" s="33">
        <f t="shared" si="8"/>
        <v>40</v>
      </c>
      <c r="B69" s="28" t="s">
        <v>112</v>
      </c>
      <c r="C69" s="27">
        <v>300</v>
      </c>
      <c r="D69" s="40">
        <v>45657</v>
      </c>
    </row>
    <row r="70" spans="1:13" ht="14.25" customHeight="1" x14ac:dyDescent="0.3">
      <c r="A70" s="33">
        <f t="shared" si="8"/>
        <v>41</v>
      </c>
      <c r="B70" s="28" t="s">
        <v>164</v>
      </c>
      <c r="C70" s="27">
        <v>28</v>
      </c>
      <c r="D70" s="40">
        <v>45658</v>
      </c>
    </row>
    <row r="71" spans="1:13" ht="14.25" customHeight="1" x14ac:dyDescent="0.3">
      <c r="A71" s="33">
        <f t="shared" si="8"/>
        <v>42</v>
      </c>
      <c r="B71" s="28" t="s">
        <v>165</v>
      </c>
      <c r="C71" s="27">
        <v>107</v>
      </c>
      <c r="D71" s="40">
        <v>45665</v>
      </c>
    </row>
    <row r="72" spans="1:13" ht="14.25" customHeight="1" x14ac:dyDescent="0.3">
      <c r="A72" s="33">
        <f t="shared" si="8"/>
        <v>43</v>
      </c>
      <c r="B72" s="28" t="s">
        <v>139</v>
      </c>
      <c r="C72" s="27">
        <v>200</v>
      </c>
      <c r="D72" s="40"/>
    </row>
    <row r="73" spans="1:13" ht="14.25" customHeight="1" x14ac:dyDescent="0.3">
      <c r="A73" s="33">
        <f t="shared" si="8"/>
        <v>44</v>
      </c>
      <c r="B73" s="28" t="s">
        <v>179</v>
      </c>
      <c r="C73" s="27">
        <v>70</v>
      </c>
      <c r="D73" s="40">
        <v>45734</v>
      </c>
    </row>
    <row r="74" spans="1:13" ht="14.25" customHeight="1" x14ac:dyDescent="0.3">
      <c r="A74" s="33">
        <f t="shared" si="8"/>
        <v>45</v>
      </c>
      <c r="B74" s="28" t="s">
        <v>180</v>
      </c>
      <c r="C74" s="27">
        <v>150</v>
      </c>
      <c r="D74" s="40">
        <v>45738</v>
      </c>
    </row>
    <row r="75" spans="1:13" ht="14.25" customHeight="1" x14ac:dyDescent="0.3">
      <c r="A75" s="33">
        <f t="shared" si="8"/>
        <v>46</v>
      </c>
      <c r="B75" s="28" t="s">
        <v>180</v>
      </c>
      <c r="C75" s="27">
        <v>150</v>
      </c>
      <c r="D75" s="40">
        <v>45740</v>
      </c>
    </row>
    <row r="76" spans="1:13" ht="14.25" customHeight="1" x14ac:dyDescent="0.3">
      <c r="A76" s="33">
        <f t="shared" si="8"/>
        <v>47</v>
      </c>
      <c r="B76" s="28" t="s">
        <v>181</v>
      </c>
      <c r="C76" s="27">
        <v>300</v>
      </c>
      <c r="D76" s="40">
        <v>45752</v>
      </c>
    </row>
    <row r="77" spans="1:13" ht="14.25" customHeight="1" x14ac:dyDescent="0.3">
      <c r="A77" s="64">
        <f t="shared" si="8"/>
        <v>48</v>
      </c>
      <c r="B77" s="58" t="s">
        <v>182</v>
      </c>
      <c r="C77" s="65">
        <v>200</v>
      </c>
      <c r="D77" s="66">
        <v>45752</v>
      </c>
    </row>
    <row r="78" spans="1:13" ht="14.25" customHeight="1" x14ac:dyDescent="0.3">
      <c r="A78" s="33">
        <f t="shared" si="8"/>
        <v>49</v>
      </c>
      <c r="B78" s="28"/>
      <c r="C78" s="27"/>
      <c r="D78" s="40"/>
    </row>
    <row r="79" spans="1:13" ht="14.25" customHeight="1" x14ac:dyDescent="0.3">
      <c r="A79" s="33">
        <f t="shared" si="8"/>
        <v>50</v>
      </c>
      <c r="B79" s="28"/>
      <c r="C79" s="27"/>
      <c r="D79" s="40"/>
    </row>
    <row r="80" spans="1:13" ht="14.25" customHeight="1" x14ac:dyDescent="0.3">
      <c r="A80" s="33">
        <f t="shared" si="8"/>
        <v>51</v>
      </c>
      <c r="B80" s="28"/>
      <c r="C80" s="27"/>
      <c r="D80" s="40"/>
    </row>
    <row r="81" spans="1:9" ht="14.25" customHeight="1" x14ac:dyDescent="0.3">
      <c r="A81" s="33">
        <f t="shared" si="8"/>
        <v>52</v>
      </c>
      <c r="B81" s="28"/>
      <c r="C81" s="27"/>
      <c r="D81" s="40"/>
    </row>
    <row r="82" spans="1:9" ht="14.25" customHeight="1" x14ac:dyDescent="0.3">
      <c r="A82" s="33">
        <f t="shared" si="8"/>
        <v>53</v>
      </c>
      <c r="B82" s="49" t="s">
        <v>50</v>
      </c>
      <c r="C82" s="62">
        <f>SUM(C56:C81)</f>
        <v>4463</v>
      </c>
      <c r="D82" s="40"/>
      <c r="I82" s="54">
        <f>I68+I61</f>
        <v>4819</v>
      </c>
    </row>
    <row r="83" spans="1:9" ht="14.25" customHeight="1" x14ac:dyDescent="0.3">
      <c r="A83" s="33">
        <f t="shared" si="8"/>
        <v>54</v>
      </c>
      <c r="B83" s="49" t="s">
        <v>51</v>
      </c>
      <c r="C83" s="28"/>
      <c r="D83" s="40"/>
    </row>
    <row r="84" spans="1:9" ht="14.25" customHeight="1" x14ac:dyDescent="0.3">
      <c r="G84" s="63">
        <f>I82-C82</f>
        <v>356</v>
      </c>
      <c r="H84" t="s">
        <v>178</v>
      </c>
    </row>
    <row r="85" spans="1:9" ht="14.25" customHeight="1" x14ac:dyDescent="0.3"/>
    <row r="86" spans="1:9" ht="14.25" customHeight="1" x14ac:dyDescent="0.3"/>
    <row r="87" spans="1:9" ht="14.25" customHeight="1" x14ac:dyDescent="0.3"/>
    <row r="88" spans="1:9" ht="14.25" customHeight="1" x14ac:dyDescent="0.3"/>
    <row r="89" spans="1:9" ht="14.25" customHeight="1" x14ac:dyDescent="0.3"/>
    <row r="90" spans="1:9" ht="14.25" customHeight="1" x14ac:dyDescent="0.3"/>
    <row r="91" spans="1:9" ht="14.25" customHeight="1" x14ac:dyDescent="0.3"/>
    <row r="92" spans="1:9" ht="14.25" customHeight="1" x14ac:dyDescent="0.3"/>
    <row r="93" spans="1:9" ht="14.25" customHeight="1" x14ac:dyDescent="0.3"/>
    <row r="94" spans="1:9" ht="14.25" customHeight="1" x14ac:dyDescent="0.3"/>
    <row r="95" spans="1:9" ht="14.25" customHeight="1" x14ac:dyDescent="0.3"/>
    <row r="96" spans="1:9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</sheetData>
  <mergeCells count="4">
    <mergeCell ref="A1:E1"/>
    <mergeCell ref="I1:M1"/>
    <mergeCell ref="A26:D26"/>
    <mergeCell ref="I26:P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553B-BB0E-4499-8884-D6784DFC8B7F}">
  <dimension ref="A1:E21"/>
  <sheetViews>
    <sheetView workbookViewId="0">
      <selection activeCell="I21" sqref="I21"/>
    </sheetView>
  </sheetViews>
  <sheetFormatPr baseColWidth="10" defaultRowHeight="14.4" x14ac:dyDescent="0.3"/>
  <cols>
    <col min="1" max="1" width="6.5546875" customWidth="1"/>
    <col min="2" max="2" width="20.88671875" customWidth="1"/>
  </cols>
  <sheetData>
    <row r="1" spans="1:5" x14ac:dyDescent="0.3">
      <c r="A1" s="69" t="s">
        <v>0</v>
      </c>
      <c r="B1" s="70"/>
      <c r="C1" s="70"/>
      <c r="D1" s="70"/>
      <c r="E1" s="70"/>
    </row>
    <row r="2" spans="1:5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">
      <c r="A3" s="3">
        <v>1</v>
      </c>
      <c r="B3" s="4" t="s">
        <v>157</v>
      </c>
      <c r="C3" s="4">
        <v>47</v>
      </c>
      <c r="D3" s="5">
        <v>14</v>
      </c>
      <c r="E3" s="5">
        <f t="shared" ref="E3:E7" si="0">C3*D3</f>
        <v>658</v>
      </c>
    </row>
    <row r="4" spans="1:5" x14ac:dyDescent="0.3">
      <c r="A4" s="3">
        <v>2</v>
      </c>
      <c r="B4" s="4" t="s">
        <v>78</v>
      </c>
      <c r="C4" s="4">
        <v>69</v>
      </c>
      <c r="D4" s="5">
        <v>7</v>
      </c>
      <c r="E4" s="5">
        <f t="shared" si="0"/>
        <v>483</v>
      </c>
    </row>
    <row r="5" spans="1:5" x14ac:dyDescent="0.3">
      <c r="A5" s="3">
        <f t="shared" ref="A5" si="1">A4+1</f>
        <v>3</v>
      </c>
      <c r="B5" s="4" t="s">
        <v>158</v>
      </c>
      <c r="C5" s="4">
        <v>3</v>
      </c>
      <c r="D5" s="5">
        <v>650</v>
      </c>
      <c r="E5" s="5">
        <f t="shared" si="0"/>
        <v>1950</v>
      </c>
    </row>
    <row r="6" spans="1:5" x14ac:dyDescent="0.3">
      <c r="A6" s="3">
        <v>4</v>
      </c>
      <c r="B6" s="4" t="s">
        <v>159</v>
      </c>
      <c r="C6" s="4">
        <v>3</v>
      </c>
      <c r="D6" s="5">
        <v>50</v>
      </c>
      <c r="E6" s="5">
        <f t="shared" si="0"/>
        <v>150</v>
      </c>
    </row>
    <row r="7" spans="1:5" x14ac:dyDescent="0.3">
      <c r="A7" s="11">
        <v>5</v>
      </c>
      <c r="B7" s="4" t="s">
        <v>160</v>
      </c>
      <c r="C7" s="4">
        <v>0</v>
      </c>
      <c r="D7" s="5">
        <v>150</v>
      </c>
      <c r="E7" s="5">
        <f t="shared" si="0"/>
        <v>0</v>
      </c>
    </row>
    <row r="8" spans="1:5" x14ac:dyDescent="0.3">
      <c r="A8" s="3"/>
      <c r="B8" s="4"/>
      <c r="C8" s="4"/>
      <c r="D8" s="5"/>
      <c r="E8" s="5"/>
    </row>
    <row r="9" spans="1:5" x14ac:dyDescent="0.3">
      <c r="A9" s="3"/>
      <c r="B9" s="4"/>
      <c r="C9" s="4"/>
      <c r="D9" s="5"/>
      <c r="E9" s="5"/>
    </row>
    <row r="10" spans="1:5" x14ac:dyDescent="0.3">
      <c r="A10" s="3"/>
      <c r="B10" s="4"/>
      <c r="C10" s="4"/>
      <c r="D10" s="5"/>
      <c r="E10" s="5"/>
    </row>
    <row r="11" spans="1:5" x14ac:dyDescent="0.3">
      <c r="A11" s="3"/>
      <c r="B11" s="4"/>
      <c r="C11" s="4"/>
      <c r="D11" s="5"/>
      <c r="E11" s="5"/>
    </row>
    <row r="12" spans="1:5" x14ac:dyDescent="0.3">
      <c r="A12" s="3"/>
      <c r="B12" s="4"/>
      <c r="C12" s="4"/>
      <c r="D12" s="5"/>
      <c r="E12" s="5"/>
    </row>
    <row r="13" spans="1:5" x14ac:dyDescent="0.3">
      <c r="A13" s="3"/>
      <c r="B13" s="5"/>
      <c r="C13" s="8"/>
      <c r="D13" s="5"/>
      <c r="E13" s="2"/>
    </row>
    <row r="14" spans="1:5" x14ac:dyDescent="0.3">
      <c r="A14" s="3"/>
      <c r="B14" s="4"/>
      <c r="C14" s="4"/>
      <c r="D14" s="5"/>
      <c r="E14" s="5"/>
    </row>
    <row r="15" spans="1:5" x14ac:dyDescent="0.3">
      <c r="A15" s="3"/>
      <c r="B15" s="4"/>
      <c r="C15" s="4"/>
      <c r="D15" s="5"/>
      <c r="E15" s="5"/>
    </row>
    <row r="16" spans="1:5" x14ac:dyDescent="0.3">
      <c r="A16" s="3"/>
      <c r="B16" s="4"/>
      <c r="C16" s="4"/>
      <c r="D16" s="5"/>
      <c r="E16" s="5"/>
    </row>
    <row r="17" spans="1:5" x14ac:dyDescent="0.3">
      <c r="A17" s="3"/>
      <c r="B17" s="4"/>
      <c r="C17" s="4"/>
      <c r="D17" s="5"/>
      <c r="E17" s="5"/>
    </row>
    <row r="18" spans="1:5" x14ac:dyDescent="0.3">
      <c r="A18" s="3"/>
      <c r="B18" s="4"/>
      <c r="C18" s="4"/>
      <c r="D18" s="5"/>
      <c r="E18" s="5"/>
    </row>
    <row r="19" spans="1:5" x14ac:dyDescent="0.3">
      <c r="A19" s="3"/>
      <c r="B19" s="4"/>
      <c r="C19" s="4"/>
      <c r="D19" s="5"/>
      <c r="E19" s="5"/>
    </row>
    <row r="20" spans="1:5" x14ac:dyDescent="0.3">
      <c r="A20" s="3"/>
      <c r="B20" s="1" t="s">
        <v>53</v>
      </c>
      <c r="C20" s="8"/>
      <c r="D20" s="5"/>
      <c r="E20" s="2"/>
    </row>
    <row r="21" spans="1:5" x14ac:dyDescent="0.3">
      <c r="A21" s="3"/>
      <c r="B21" s="1" t="s">
        <v>25</v>
      </c>
      <c r="C21" s="4"/>
      <c r="D21" s="5"/>
      <c r="E21" s="2">
        <f>SUM(E3:E20)</f>
        <v>3241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C1B0-D6CE-498F-BAEF-797EBB643535}">
  <dimension ref="A1:E33"/>
  <sheetViews>
    <sheetView zoomScale="85" zoomScaleNormal="85" workbookViewId="0">
      <selection activeCell="F24" sqref="F24"/>
    </sheetView>
  </sheetViews>
  <sheetFormatPr baseColWidth="10" defaultRowHeight="14.4" x14ac:dyDescent="0.3"/>
  <cols>
    <col min="1" max="1" width="6.5546875" customWidth="1"/>
    <col min="2" max="2" width="30" customWidth="1"/>
  </cols>
  <sheetData>
    <row r="1" spans="1:5" x14ac:dyDescent="0.3">
      <c r="A1" s="69" t="s">
        <v>0</v>
      </c>
      <c r="B1" s="70"/>
      <c r="C1" s="70"/>
      <c r="D1" s="70"/>
      <c r="E1" s="70"/>
    </row>
    <row r="2" spans="1:5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">
      <c r="A3" s="3">
        <v>1</v>
      </c>
      <c r="B3" s="4" t="s">
        <v>93</v>
      </c>
      <c r="C3" s="4">
        <v>1</v>
      </c>
      <c r="D3" s="5">
        <v>1200</v>
      </c>
      <c r="E3" s="5">
        <f t="shared" ref="E3" si="0">C3*D3</f>
        <v>1200</v>
      </c>
    </row>
    <row r="4" spans="1:5" x14ac:dyDescent="0.3">
      <c r="A4" s="3"/>
      <c r="B4" s="4"/>
      <c r="C4" s="4"/>
      <c r="D4" s="5"/>
      <c r="E4" s="5"/>
    </row>
    <row r="5" spans="1:5" x14ac:dyDescent="0.3">
      <c r="A5" s="3"/>
      <c r="B5" s="4"/>
      <c r="C5" s="4"/>
      <c r="D5" s="5"/>
      <c r="E5" s="5"/>
    </row>
    <row r="6" spans="1:5" x14ac:dyDescent="0.3">
      <c r="A6" s="3"/>
      <c r="B6" s="4"/>
      <c r="C6" s="4"/>
      <c r="D6" s="5"/>
      <c r="E6" s="5"/>
    </row>
    <row r="7" spans="1:5" x14ac:dyDescent="0.3">
      <c r="A7" s="3"/>
      <c r="B7" s="4"/>
      <c r="C7" s="4"/>
      <c r="D7" s="5"/>
      <c r="E7" s="5"/>
    </row>
    <row r="8" spans="1:5" x14ac:dyDescent="0.3">
      <c r="A8" s="3"/>
      <c r="B8" s="5"/>
      <c r="C8" s="8"/>
      <c r="D8" s="5"/>
      <c r="E8" s="2"/>
    </row>
    <row r="9" spans="1:5" x14ac:dyDescent="0.3">
      <c r="A9" s="3"/>
      <c r="B9" s="4"/>
      <c r="C9" s="4"/>
      <c r="D9" s="5"/>
      <c r="E9" s="5"/>
    </row>
    <row r="10" spans="1:5" x14ac:dyDescent="0.3">
      <c r="A10" s="3"/>
      <c r="B10" s="4"/>
      <c r="C10" s="4"/>
      <c r="D10" s="5"/>
      <c r="E10" s="5"/>
    </row>
    <row r="11" spans="1:5" x14ac:dyDescent="0.3">
      <c r="A11" s="3"/>
      <c r="B11" s="4"/>
      <c r="C11" s="4"/>
      <c r="D11" s="5"/>
      <c r="E11" s="5"/>
    </row>
    <row r="12" spans="1:5" x14ac:dyDescent="0.3">
      <c r="A12" s="3"/>
      <c r="B12" s="4"/>
      <c r="C12" s="4"/>
      <c r="D12" s="5"/>
      <c r="E12" s="5"/>
    </row>
    <row r="13" spans="1:5" x14ac:dyDescent="0.3">
      <c r="A13" s="3"/>
      <c r="B13" s="4"/>
      <c r="C13" s="4"/>
      <c r="D13" s="5"/>
      <c r="E13" s="5"/>
    </row>
    <row r="14" spans="1:5" x14ac:dyDescent="0.3">
      <c r="A14" s="3"/>
      <c r="B14" s="4"/>
      <c r="C14" s="4"/>
      <c r="D14" s="5"/>
      <c r="E14" s="5"/>
    </row>
    <row r="15" spans="1:5" x14ac:dyDescent="0.3">
      <c r="A15" s="3"/>
      <c r="B15" s="1" t="s">
        <v>53</v>
      </c>
      <c r="C15" s="8"/>
      <c r="D15" s="5"/>
      <c r="E15" s="2"/>
    </row>
    <row r="16" spans="1:5" x14ac:dyDescent="0.3">
      <c r="A16" s="3"/>
      <c r="B16" s="1" t="s">
        <v>25</v>
      </c>
      <c r="C16" s="4"/>
      <c r="D16" s="5"/>
      <c r="E16" s="2">
        <f>SUM(E3:E15)</f>
        <v>1200</v>
      </c>
    </row>
    <row r="18" spans="1:4" x14ac:dyDescent="0.3">
      <c r="A18" s="69" t="s">
        <v>26</v>
      </c>
      <c r="B18" s="70"/>
      <c r="C18" s="70"/>
      <c r="D18" s="70"/>
    </row>
    <row r="19" spans="1:4" x14ac:dyDescent="0.3">
      <c r="A19" s="13" t="s">
        <v>3</v>
      </c>
      <c r="B19" s="13" t="s">
        <v>4</v>
      </c>
      <c r="C19" s="13" t="s">
        <v>28</v>
      </c>
      <c r="D19" s="13" t="s">
        <v>29</v>
      </c>
    </row>
    <row r="20" spans="1:4" x14ac:dyDescent="0.3">
      <c r="A20" s="3">
        <v>1</v>
      </c>
      <c r="B20" s="14" t="s">
        <v>112</v>
      </c>
      <c r="C20" s="5">
        <v>150</v>
      </c>
      <c r="D20" s="15">
        <v>45668</v>
      </c>
    </row>
    <row r="21" spans="1:4" x14ac:dyDescent="0.3">
      <c r="A21" s="3">
        <f t="shared" ref="A21:A30" si="1">A20+1</f>
        <v>2</v>
      </c>
      <c r="B21" s="14" t="s">
        <v>112</v>
      </c>
      <c r="C21" s="5">
        <v>750</v>
      </c>
      <c r="D21" s="15">
        <v>45675</v>
      </c>
    </row>
    <row r="22" spans="1:4" x14ac:dyDescent="0.3">
      <c r="A22" s="3">
        <f t="shared" si="1"/>
        <v>3</v>
      </c>
      <c r="B22" s="19" t="s">
        <v>174</v>
      </c>
      <c r="C22" s="5">
        <v>10</v>
      </c>
      <c r="D22" s="15"/>
    </row>
    <row r="23" spans="1:4" x14ac:dyDescent="0.3">
      <c r="A23" s="3">
        <f t="shared" si="1"/>
        <v>4</v>
      </c>
      <c r="B23" s="19" t="s">
        <v>175</v>
      </c>
      <c r="C23" s="5"/>
      <c r="D23" s="15"/>
    </row>
    <row r="24" spans="1:4" x14ac:dyDescent="0.3">
      <c r="A24" s="3">
        <f t="shared" si="1"/>
        <v>5</v>
      </c>
      <c r="B24" s="19"/>
      <c r="C24" s="5"/>
      <c r="D24" s="15"/>
    </row>
    <row r="25" spans="1:4" x14ac:dyDescent="0.3">
      <c r="A25" s="3">
        <f t="shared" si="1"/>
        <v>6</v>
      </c>
      <c r="B25" s="19"/>
      <c r="C25" s="5"/>
      <c r="D25" s="15"/>
    </row>
    <row r="26" spans="1:4" x14ac:dyDescent="0.3">
      <c r="A26" s="3">
        <f t="shared" si="1"/>
        <v>7</v>
      </c>
      <c r="B26" s="19"/>
      <c r="C26" s="5"/>
      <c r="D26" s="15"/>
    </row>
    <row r="27" spans="1:4" x14ac:dyDescent="0.3">
      <c r="A27" s="3">
        <f t="shared" si="1"/>
        <v>8</v>
      </c>
      <c r="B27" s="19"/>
      <c r="C27" s="5"/>
      <c r="D27" s="15"/>
    </row>
    <row r="28" spans="1:4" x14ac:dyDescent="0.3">
      <c r="A28" s="3">
        <f t="shared" si="1"/>
        <v>9</v>
      </c>
      <c r="B28" s="19"/>
      <c r="C28" s="5"/>
      <c r="D28" s="15"/>
    </row>
    <row r="29" spans="1:4" x14ac:dyDescent="0.3">
      <c r="A29" s="3">
        <f t="shared" si="1"/>
        <v>10</v>
      </c>
      <c r="B29" s="19"/>
      <c r="C29" s="5"/>
      <c r="D29" s="9"/>
    </row>
    <row r="30" spans="1:4" x14ac:dyDescent="0.3">
      <c r="A30" s="3">
        <f t="shared" si="1"/>
        <v>11</v>
      </c>
      <c r="B30" s="19"/>
      <c r="C30" s="5"/>
      <c r="D30" s="9"/>
    </row>
    <row r="31" spans="1:4" x14ac:dyDescent="0.3">
      <c r="A31" s="3">
        <f>A28+1</f>
        <v>10</v>
      </c>
      <c r="B31" s="19"/>
      <c r="C31" s="5"/>
      <c r="D31" s="20"/>
    </row>
    <row r="32" spans="1:4" x14ac:dyDescent="0.3">
      <c r="A32" s="3">
        <f t="shared" ref="A32:A33" si="2">A31+1</f>
        <v>11</v>
      </c>
      <c r="B32" s="21" t="s">
        <v>50</v>
      </c>
      <c r="C32" s="2">
        <f>SUM(C20:C31)</f>
        <v>910</v>
      </c>
      <c r="D32" s="4"/>
    </row>
    <row r="33" spans="1:4" x14ac:dyDescent="0.3">
      <c r="A33" s="3">
        <f t="shared" si="2"/>
        <v>12</v>
      </c>
      <c r="B33" s="21" t="s">
        <v>51</v>
      </c>
      <c r="C33" s="2">
        <f>E16-C32</f>
        <v>290</v>
      </c>
      <c r="D33" s="9"/>
    </row>
  </sheetData>
  <mergeCells count="2">
    <mergeCell ref="A1:E1"/>
    <mergeCell ref="A18:D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0B2D-1D69-4B49-A0C5-4892A164834A}">
  <dimension ref="A1:M33"/>
  <sheetViews>
    <sheetView workbookViewId="0">
      <selection sqref="A1:XFD1048576"/>
    </sheetView>
  </sheetViews>
  <sheetFormatPr baseColWidth="10" defaultRowHeight="14.4" x14ac:dyDescent="0.3"/>
  <cols>
    <col min="2" max="2" width="15.88671875" customWidth="1"/>
    <col min="8" max="8" width="19.88671875" customWidth="1"/>
    <col min="11" max="11" width="11.44140625" style="42"/>
    <col min="13" max="13" width="15.44140625" bestFit="1" customWidth="1"/>
  </cols>
  <sheetData>
    <row r="1" spans="1:13" x14ac:dyDescent="0.3">
      <c r="A1" s="69" t="s">
        <v>0</v>
      </c>
      <c r="B1" s="70"/>
      <c r="C1" s="70"/>
      <c r="D1" s="70"/>
      <c r="E1" s="70"/>
      <c r="G1" s="69" t="s">
        <v>1</v>
      </c>
      <c r="H1" s="70"/>
      <c r="I1" s="70"/>
      <c r="J1" s="70"/>
      <c r="K1" s="70"/>
      <c r="M1" s="1" t="s">
        <v>2</v>
      </c>
    </row>
    <row r="2" spans="1:13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2">
        <f>E16+K16</f>
        <v>2125</v>
      </c>
    </row>
    <row r="3" spans="1:13" x14ac:dyDescent="0.3">
      <c r="A3" s="3">
        <v>1</v>
      </c>
      <c r="B3" s="4" t="s">
        <v>166</v>
      </c>
      <c r="C3" s="4">
        <v>1</v>
      </c>
      <c r="D3" s="5">
        <v>500</v>
      </c>
      <c r="E3" s="5">
        <f t="shared" ref="E3" si="0">C3*D3</f>
        <v>500</v>
      </c>
      <c r="G3" s="3">
        <v>1</v>
      </c>
      <c r="H3" s="4" t="s">
        <v>167</v>
      </c>
      <c r="I3" s="4">
        <v>2</v>
      </c>
      <c r="J3" s="6">
        <v>155</v>
      </c>
      <c r="K3" s="5">
        <f t="shared" ref="K3:K9" si="1">I3*J3</f>
        <v>310</v>
      </c>
    </row>
    <row r="4" spans="1:13" x14ac:dyDescent="0.3">
      <c r="A4" s="3"/>
      <c r="B4" s="4"/>
      <c r="C4" s="4"/>
      <c r="D4" s="5"/>
      <c r="E4" s="5"/>
      <c r="G4" s="3">
        <f t="shared" ref="G4:G13" si="2">G3+1</f>
        <v>2</v>
      </c>
      <c r="H4" s="4" t="s">
        <v>168</v>
      </c>
      <c r="I4" s="4">
        <v>2</v>
      </c>
      <c r="J4" s="6">
        <v>215</v>
      </c>
      <c r="K4" s="5">
        <f t="shared" si="1"/>
        <v>430</v>
      </c>
    </row>
    <row r="5" spans="1:13" x14ac:dyDescent="0.3">
      <c r="A5" s="3"/>
      <c r="B5" s="4"/>
      <c r="C5" s="4"/>
      <c r="D5" s="5"/>
      <c r="E5" s="5"/>
      <c r="G5" s="3">
        <f t="shared" si="2"/>
        <v>3</v>
      </c>
      <c r="H5" s="4" t="s">
        <v>169</v>
      </c>
      <c r="I5" s="4">
        <v>1</v>
      </c>
      <c r="J5" s="6">
        <v>215</v>
      </c>
      <c r="K5" s="5">
        <f t="shared" si="1"/>
        <v>215</v>
      </c>
    </row>
    <row r="6" spans="1:13" x14ac:dyDescent="0.3">
      <c r="A6" s="3"/>
      <c r="B6" s="4"/>
      <c r="C6" s="4"/>
      <c r="D6" s="5"/>
      <c r="E6" s="5"/>
      <c r="G6" s="3">
        <f t="shared" si="2"/>
        <v>4</v>
      </c>
      <c r="H6" s="4" t="s">
        <v>170</v>
      </c>
      <c r="I6" s="4">
        <v>40</v>
      </c>
      <c r="J6" s="6">
        <v>7</v>
      </c>
      <c r="K6" s="5">
        <f t="shared" si="1"/>
        <v>280</v>
      </c>
    </row>
    <row r="7" spans="1:13" x14ac:dyDescent="0.3">
      <c r="A7" s="3"/>
      <c r="B7" s="4"/>
      <c r="C7" s="4"/>
      <c r="D7" s="5"/>
      <c r="E7" s="5"/>
      <c r="G7" s="3">
        <f t="shared" si="2"/>
        <v>5</v>
      </c>
      <c r="H7" s="4" t="s">
        <v>171</v>
      </c>
      <c r="I7" s="4">
        <v>10</v>
      </c>
      <c r="J7" s="6">
        <v>6</v>
      </c>
      <c r="K7" s="5">
        <f t="shared" si="1"/>
        <v>60</v>
      </c>
    </row>
    <row r="8" spans="1:13" x14ac:dyDescent="0.3">
      <c r="A8" s="3"/>
      <c r="B8" s="5"/>
      <c r="C8" s="8"/>
      <c r="D8" s="5"/>
      <c r="E8" s="2"/>
      <c r="G8" s="7">
        <f t="shared" si="2"/>
        <v>6</v>
      </c>
      <c r="H8" s="16" t="s">
        <v>172</v>
      </c>
      <c r="I8" s="16">
        <v>3</v>
      </c>
      <c r="J8" s="17">
        <v>50</v>
      </c>
      <c r="K8" s="25">
        <f t="shared" si="1"/>
        <v>150</v>
      </c>
      <c r="M8" s="10"/>
    </row>
    <row r="9" spans="1:13" x14ac:dyDescent="0.3">
      <c r="A9" s="3"/>
      <c r="B9" s="4"/>
      <c r="C9" s="4"/>
      <c r="D9" s="5"/>
      <c r="E9" s="5"/>
      <c r="G9" s="33">
        <f t="shared" si="2"/>
        <v>7</v>
      </c>
      <c r="H9" s="41" t="s">
        <v>173</v>
      </c>
      <c r="I9" s="41">
        <v>4</v>
      </c>
      <c r="J9" s="59">
        <v>45</v>
      </c>
      <c r="K9" s="27">
        <f t="shared" si="1"/>
        <v>180</v>
      </c>
    </row>
    <row r="10" spans="1:13" x14ac:dyDescent="0.3">
      <c r="A10" s="3"/>
      <c r="B10" s="4"/>
      <c r="C10" s="4"/>
      <c r="D10" s="5"/>
      <c r="E10" s="5"/>
      <c r="G10" s="33">
        <f t="shared" si="2"/>
        <v>8</v>
      </c>
      <c r="H10" s="41"/>
      <c r="I10" s="41"/>
      <c r="J10" s="59"/>
      <c r="K10" s="27"/>
    </row>
    <row r="11" spans="1:13" x14ac:dyDescent="0.3">
      <c r="A11" s="3"/>
      <c r="B11" s="4"/>
      <c r="C11" s="4"/>
      <c r="D11" s="5"/>
      <c r="E11" s="5"/>
      <c r="G11" s="33">
        <f t="shared" si="2"/>
        <v>9</v>
      </c>
      <c r="H11" s="41"/>
      <c r="I11" s="41"/>
      <c r="J11" s="59"/>
      <c r="K11" s="27"/>
    </row>
    <row r="12" spans="1:13" x14ac:dyDescent="0.3">
      <c r="A12" s="3"/>
      <c r="B12" s="4"/>
      <c r="C12" s="4"/>
      <c r="D12" s="5"/>
      <c r="E12" s="5"/>
      <c r="G12" s="33">
        <f t="shared" si="2"/>
        <v>10</v>
      </c>
      <c r="H12" s="41"/>
      <c r="I12" s="41"/>
      <c r="J12" s="59"/>
      <c r="K12" s="27"/>
    </row>
    <row r="13" spans="1:13" x14ac:dyDescent="0.3">
      <c r="A13" s="3"/>
      <c r="B13" s="4"/>
      <c r="C13" s="4"/>
      <c r="D13" s="5"/>
      <c r="E13" s="5"/>
      <c r="G13" s="33">
        <f t="shared" si="2"/>
        <v>11</v>
      </c>
      <c r="H13" s="41"/>
      <c r="I13" s="41"/>
      <c r="J13" s="27"/>
      <c r="K13" s="27"/>
    </row>
    <row r="14" spans="1:13" x14ac:dyDescent="0.3">
      <c r="A14" s="3"/>
      <c r="B14" s="4"/>
      <c r="C14" s="4"/>
      <c r="D14" s="5"/>
      <c r="E14" s="5"/>
      <c r="G14" s="28"/>
      <c r="H14" s="28"/>
      <c r="I14" s="28"/>
      <c r="J14" s="28"/>
      <c r="K14" s="60"/>
    </row>
    <row r="15" spans="1:13" x14ac:dyDescent="0.3">
      <c r="A15" s="3"/>
      <c r="B15" s="1" t="s">
        <v>53</v>
      </c>
      <c r="C15" s="8"/>
      <c r="D15" s="5"/>
      <c r="E15" s="2"/>
      <c r="G15" s="28"/>
      <c r="H15" s="28"/>
      <c r="I15" s="28"/>
      <c r="J15" s="28"/>
      <c r="K15" s="60"/>
    </row>
    <row r="16" spans="1:13" x14ac:dyDescent="0.3">
      <c r="A16" s="3"/>
      <c r="B16" s="1" t="s">
        <v>25</v>
      </c>
      <c r="C16" s="4"/>
      <c r="D16" s="5"/>
      <c r="E16" s="2">
        <f>SUM(E3:E15)</f>
        <v>500</v>
      </c>
      <c r="G16" s="28"/>
      <c r="H16" s="28"/>
      <c r="I16" s="28"/>
      <c r="J16" s="1" t="s">
        <v>25</v>
      </c>
      <c r="K16" s="61">
        <f>SUM(K3:K15)</f>
        <v>1625</v>
      </c>
    </row>
    <row r="18" spans="1:4" x14ac:dyDescent="0.3">
      <c r="A18" s="69" t="s">
        <v>26</v>
      </c>
      <c r="B18" s="70"/>
      <c r="C18" s="70"/>
      <c r="D18" s="70"/>
    </row>
    <row r="19" spans="1:4" x14ac:dyDescent="0.3">
      <c r="A19" s="13" t="s">
        <v>3</v>
      </c>
      <c r="B19" s="13" t="s">
        <v>4</v>
      </c>
      <c r="C19" s="13" t="s">
        <v>28</v>
      </c>
      <c r="D19" s="13" t="s">
        <v>29</v>
      </c>
    </row>
    <row r="20" spans="1:4" x14ac:dyDescent="0.3">
      <c r="A20" s="3">
        <v>1</v>
      </c>
      <c r="B20" s="14"/>
      <c r="C20" s="5"/>
      <c r="D20" s="15"/>
    </row>
    <row r="21" spans="1:4" x14ac:dyDescent="0.3">
      <c r="A21" s="3">
        <f t="shared" ref="A21:A30" si="3">A20+1</f>
        <v>2</v>
      </c>
      <c r="B21" s="14"/>
      <c r="C21" s="5"/>
      <c r="D21" s="15"/>
    </row>
    <row r="22" spans="1:4" x14ac:dyDescent="0.3">
      <c r="A22" s="3">
        <f t="shared" si="3"/>
        <v>3</v>
      </c>
      <c r="B22" s="19"/>
      <c r="C22" s="5"/>
      <c r="D22" s="15"/>
    </row>
    <row r="23" spans="1:4" x14ac:dyDescent="0.3">
      <c r="A23" s="3">
        <f t="shared" si="3"/>
        <v>4</v>
      </c>
      <c r="B23" s="19"/>
      <c r="C23" s="5"/>
      <c r="D23" s="15"/>
    </row>
    <row r="24" spans="1:4" x14ac:dyDescent="0.3">
      <c r="A24" s="3">
        <f t="shared" si="3"/>
        <v>5</v>
      </c>
      <c r="B24" s="19"/>
      <c r="C24" s="5"/>
      <c r="D24" s="15"/>
    </row>
    <row r="25" spans="1:4" x14ac:dyDescent="0.3">
      <c r="A25" s="3">
        <f t="shared" si="3"/>
        <v>6</v>
      </c>
      <c r="B25" s="19"/>
      <c r="C25" s="5"/>
      <c r="D25" s="15"/>
    </row>
    <row r="26" spans="1:4" x14ac:dyDescent="0.3">
      <c r="A26" s="3">
        <f t="shared" si="3"/>
        <v>7</v>
      </c>
      <c r="B26" s="19"/>
      <c r="C26" s="5"/>
      <c r="D26" s="15"/>
    </row>
    <row r="27" spans="1:4" x14ac:dyDescent="0.3">
      <c r="A27" s="3">
        <f t="shared" si="3"/>
        <v>8</v>
      </c>
      <c r="B27" s="19"/>
      <c r="C27" s="5"/>
      <c r="D27" s="15"/>
    </row>
    <row r="28" spans="1:4" x14ac:dyDescent="0.3">
      <c r="A28" s="3">
        <f t="shared" si="3"/>
        <v>9</v>
      </c>
      <c r="B28" s="19"/>
      <c r="C28" s="5"/>
      <c r="D28" s="15"/>
    </row>
    <row r="29" spans="1:4" x14ac:dyDescent="0.3">
      <c r="A29" s="3">
        <f t="shared" si="3"/>
        <v>10</v>
      </c>
      <c r="B29" s="19"/>
      <c r="C29" s="5"/>
      <c r="D29" s="9"/>
    </row>
    <row r="30" spans="1:4" x14ac:dyDescent="0.3">
      <c r="A30" s="3">
        <f t="shared" si="3"/>
        <v>11</v>
      </c>
      <c r="B30" s="19"/>
      <c r="C30" s="5"/>
      <c r="D30" s="9"/>
    </row>
    <row r="31" spans="1:4" x14ac:dyDescent="0.3">
      <c r="A31" s="3">
        <f>A28+1</f>
        <v>10</v>
      </c>
      <c r="B31" s="19"/>
      <c r="C31" s="5"/>
      <c r="D31" s="20"/>
    </row>
    <row r="32" spans="1:4" x14ac:dyDescent="0.3">
      <c r="A32" s="3">
        <f t="shared" ref="A32:A33" si="4">A31+1</f>
        <v>11</v>
      </c>
      <c r="B32" s="21" t="s">
        <v>50</v>
      </c>
      <c r="C32" s="2">
        <f>SUM(C20:C31)</f>
        <v>0</v>
      </c>
      <c r="D32" s="4"/>
    </row>
    <row r="33" spans="1:4" x14ac:dyDescent="0.3">
      <c r="A33" s="3">
        <f t="shared" si="4"/>
        <v>12</v>
      </c>
      <c r="B33" s="21" t="s">
        <v>51</v>
      </c>
      <c r="C33" s="2">
        <f>E16-C32</f>
        <v>500</v>
      </c>
      <c r="D33" s="9"/>
    </row>
  </sheetData>
  <mergeCells count="3">
    <mergeCell ref="A1:E1"/>
    <mergeCell ref="A18:D18"/>
    <mergeCell ref="G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62E0-48B9-414A-BF56-BD59861A9822}">
  <dimension ref="A1:K33"/>
  <sheetViews>
    <sheetView zoomScale="85" zoomScaleNormal="85" workbookViewId="0">
      <selection activeCell="H34" sqref="H34"/>
    </sheetView>
  </sheetViews>
  <sheetFormatPr baseColWidth="10" defaultRowHeight="14.4" x14ac:dyDescent="0.3"/>
  <cols>
    <col min="2" max="2" width="24.88671875" bestFit="1" customWidth="1"/>
    <col min="7" max="7" width="27.5546875" customWidth="1"/>
  </cols>
  <sheetData>
    <row r="1" spans="1:10" x14ac:dyDescent="0.3">
      <c r="A1" s="69" t="s">
        <v>0</v>
      </c>
      <c r="B1" s="70"/>
      <c r="C1" s="70"/>
      <c r="D1" s="70"/>
      <c r="E1" s="70"/>
    </row>
    <row r="2" spans="1:10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10" x14ac:dyDescent="0.3">
      <c r="A3" s="3">
        <v>1</v>
      </c>
      <c r="B3" s="4" t="s">
        <v>183</v>
      </c>
      <c r="C3" s="4">
        <v>1</v>
      </c>
      <c r="D3" s="5">
        <v>550</v>
      </c>
      <c r="E3" s="5">
        <v>495</v>
      </c>
      <c r="G3">
        <v>55</v>
      </c>
    </row>
    <row r="4" spans="1:10" x14ac:dyDescent="0.3">
      <c r="A4" s="3"/>
      <c r="B4" s="4" t="s">
        <v>186</v>
      </c>
      <c r="C4" s="4">
        <v>1</v>
      </c>
      <c r="D4" s="5">
        <v>70</v>
      </c>
      <c r="E4" s="5"/>
    </row>
    <row r="5" spans="1:10" x14ac:dyDescent="0.3">
      <c r="A5" s="3"/>
      <c r="B5" s="4"/>
      <c r="C5" s="4"/>
      <c r="D5" s="5"/>
      <c r="E5" s="5"/>
    </row>
    <row r="6" spans="1:10" x14ac:dyDescent="0.3">
      <c r="A6" s="3"/>
      <c r="B6" s="4"/>
      <c r="C6" s="4"/>
      <c r="D6" s="5"/>
      <c r="E6" s="5"/>
    </row>
    <row r="7" spans="1:10" x14ac:dyDescent="0.3">
      <c r="A7" s="3"/>
      <c r="B7" s="4"/>
      <c r="C7" s="4"/>
      <c r="D7" s="5"/>
      <c r="E7" s="5"/>
    </row>
    <row r="8" spans="1:10" x14ac:dyDescent="0.3">
      <c r="A8" s="3"/>
      <c r="B8" s="5"/>
      <c r="C8" s="8"/>
      <c r="D8" s="5"/>
      <c r="E8" s="2"/>
    </row>
    <row r="9" spans="1:10" x14ac:dyDescent="0.3">
      <c r="A9" s="3"/>
      <c r="B9" s="4"/>
      <c r="C9" s="4"/>
      <c r="D9" s="5"/>
      <c r="E9" s="5"/>
    </row>
    <row r="10" spans="1:10" x14ac:dyDescent="0.3">
      <c r="A10" s="3"/>
      <c r="B10" s="4"/>
      <c r="C10" s="4"/>
      <c r="D10" s="5"/>
      <c r="E10" s="5"/>
    </row>
    <row r="11" spans="1:10" x14ac:dyDescent="0.3">
      <c r="A11" s="3"/>
      <c r="B11" s="4"/>
      <c r="C11" s="4"/>
      <c r="D11" s="5"/>
      <c r="E11" s="5"/>
      <c r="G11" t="s">
        <v>196</v>
      </c>
    </row>
    <row r="12" spans="1:10" x14ac:dyDescent="0.3">
      <c r="A12" s="3"/>
      <c r="B12" s="4"/>
      <c r="C12" s="4"/>
      <c r="D12" s="5"/>
      <c r="E12" s="5"/>
      <c r="G12" t="s">
        <v>184</v>
      </c>
      <c r="H12">
        <v>300</v>
      </c>
      <c r="J12">
        <v>300</v>
      </c>
    </row>
    <row r="13" spans="1:10" x14ac:dyDescent="0.3">
      <c r="A13" s="3"/>
      <c r="B13" s="4"/>
      <c r="C13" s="4"/>
      <c r="D13" s="5"/>
      <c r="E13" s="5"/>
      <c r="G13" t="s">
        <v>185</v>
      </c>
      <c r="H13">
        <v>20</v>
      </c>
      <c r="I13">
        <v>13</v>
      </c>
      <c r="J13">
        <f>H13*I13</f>
        <v>260</v>
      </c>
    </row>
    <row r="14" spans="1:10" x14ac:dyDescent="0.3">
      <c r="A14" s="3"/>
      <c r="B14" s="4"/>
      <c r="C14" s="4"/>
      <c r="D14" s="5"/>
      <c r="E14" s="5"/>
      <c r="G14" s="4" t="s">
        <v>186</v>
      </c>
      <c r="J14">
        <v>70</v>
      </c>
    </row>
    <row r="15" spans="1:10" x14ac:dyDescent="0.3">
      <c r="A15" s="3"/>
      <c r="B15" s="1" t="s">
        <v>53</v>
      </c>
      <c r="C15" s="8"/>
      <c r="D15" s="5"/>
      <c r="E15" s="2"/>
      <c r="G15" s="67" t="s">
        <v>188</v>
      </c>
      <c r="J15">
        <v>100</v>
      </c>
    </row>
    <row r="16" spans="1:10" x14ac:dyDescent="0.3">
      <c r="A16" s="3"/>
      <c r="B16" s="1" t="s">
        <v>25</v>
      </c>
      <c r="C16" s="4"/>
      <c r="D16" s="5"/>
      <c r="E16" s="2">
        <f>SUM(E3:E15)</f>
        <v>495</v>
      </c>
    </row>
    <row r="17" spans="1:11" x14ac:dyDescent="0.3">
      <c r="J17">
        <f>SUM(J12:J16)</f>
        <v>730</v>
      </c>
    </row>
    <row r="18" spans="1:11" x14ac:dyDescent="0.3">
      <c r="A18" s="69" t="s">
        <v>26</v>
      </c>
      <c r="B18" s="70"/>
      <c r="C18" s="70"/>
      <c r="D18" s="70"/>
    </row>
    <row r="19" spans="1:11" x14ac:dyDescent="0.3">
      <c r="A19" s="13" t="s">
        <v>3</v>
      </c>
      <c r="B19" s="13" t="s">
        <v>4</v>
      </c>
      <c r="C19" s="13" t="s">
        <v>28</v>
      </c>
      <c r="D19" s="13" t="s">
        <v>29</v>
      </c>
    </row>
    <row r="20" spans="1:11" x14ac:dyDescent="0.3">
      <c r="A20" s="3">
        <v>1</v>
      </c>
      <c r="B20" s="14" t="s">
        <v>112</v>
      </c>
      <c r="C20" s="5">
        <v>50</v>
      </c>
      <c r="D20" s="15">
        <v>45758</v>
      </c>
      <c r="E20" s="54" t="s">
        <v>195</v>
      </c>
      <c r="G20" t="s">
        <v>191</v>
      </c>
    </row>
    <row r="21" spans="1:11" x14ac:dyDescent="0.3">
      <c r="A21" s="3">
        <f t="shared" ref="A21:A30" si="0">A20+1</f>
        <v>2</v>
      </c>
      <c r="B21" s="14" t="s">
        <v>187</v>
      </c>
      <c r="C21" s="5">
        <v>730</v>
      </c>
      <c r="D21" s="15">
        <v>45759</v>
      </c>
      <c r="G21" t="s">
        <v>189</v>
      </c>
      <c r="H21">
        <v>1</v>
      </c>
      <c r="I21">
        <v>185</v>
      </c>
      <c r="J21">
        <f>H21*I21</f>
        <v>185</v>
      </c>
    </row>
    <row r="22" spans="1:11" x14ac:dyDescent="0.3">
      <c r="A22" s="3">
        <f t="shared" si="0"/>
        <v>3</v>
      </c>
      <c r="B22" s="19" t="s">
        <v>187</v>
      </c>
      <c r="C22" s="5">
        <v>600</v>
      </c>
      <c r="D22" s="15">
        <v>45767</v>
      </c>
      <c r="G22" t="s">
        <v>185</v>
      </c>
      <c r="H22">
        <v>20</v>
      </c>
      <c r="I22">
        <v>13</v>
      </c>
      <c r="J22">
        <f>H22*I22</f>
        <v>260</v>
      </c>
    </row>
    <row r="23" spans="1:11" x14ac:dyDescent="0.3">
      <c r="A23" s="3">
        <f t="shared" si="0"/>
        <v>4</v>
      </c>
      <c r="B23" s="19"/>
      <c r="C23" s="5"/>
      <c r="D23" s="15"/>
      <c r="G23" t="s">
        <v>190</v>
      </c>
      <c r="H23">
        <v>1</v>
      </c>
      <c r="I23">
        <v>20</v>
      </c>
      <c r="J23">
        <f>H23*I23</f>
        <v>20</v>
      </c>
    </row>
    <row r="24" spans="1:11" x14ac:dyDescent="0.3">
      <c r="A24" s="3">
        <f t="shared" si="0"/>
        <v>5</v>
      </c>
      <c r="B24" s="19"/>
      <c r="C24" s="5"/>
      <c r="D24" s="15"/>
      <c r="G24" t="s">
        <v>192</v>
      </c>
      <c r="H24">
        <v>50</v>
      </c>
      <c r="I24">
        <v>1</v>
      </c>
      <c r="J24">
        <f>H24*I24</f>
        <v>50</v>
      </c>
      <c r="K24" s="54" t="s">
        <v>194</v>
      </c>
    </row>
    <row r="25" spans="1:11" x14ac:dyDescent="0.3">
      <c r="A25" s="3">
        <f t="shared" si="0"/>
        <v>6</v>
      </c>
      <c r="B25" s="19"/>
      <c r="C25" s="5"/>
      <c r="D25" s="15"/>
      <c r="G25" t="s">
        <v>193</v>
      </c>
      <c r="H25">
        <v>1</v>
      </c>
      <c r="I25">
        <v>85</v>
      </c>
      <c r="J25">
        <f>H25*I25</f>
        <v>85</v>
      </c>
    </row>
    <row r="26" spans="1:11" x14ac:dyDescent="0.3">
      <c r="A26" s="3">
        <f t="shared" si="0"/>
        <v>7</v>
      </c>
      <c r="B26" s="19"/>
      <c r="C26" s="5"/>
      <c r="D26" s="15"/>
      <c r="J26">
        <f>SUM(J21:J25)</f>
        <v>600</v>
      </c>
    </row>
    <row r="27" spans="1:11" x14ac:dyDescent="0.3">
      <c r="A27" s="3">
        <f t="shared" si="0"/>
        <v>8</v>
      </c>
      <c r="B27" s="19"/>
      <c r="C27" s="5"/>
      <c r="D27" s="15"/>
    </row>
    <row r="28" spans="1:11" x14ac:dyDescent="0.3">
      <c r="A28" s="3">
        <f t="shared" si="0"/>
        <v>9</v>
      </c>
      <c r="B28" s="19"/>
      <c r="C28" s="5"/>
      <c r="D28" s="15"/>
    </row>
    <row r="29" spans="1:11" x14ac:dyDescent="0.3">
      <c r="A29" s="3">
        <f t="shared" si="0"/>
        <v>10</v>
      </c>
      <c r="B29" s="19"/>
      <c r="C29" s="5"/>
      <c r="D29" s="9"/>
    </row>
    <row r="30" spans="1:11" x14ac:dyDescent="0.3">
      <c r="A30" s="3">
        <f t="shared" si="0"/>
        <v>11</v>
      </c>
      <c r="B30" s="19"/>
      <c r="C30" s="5"/>
      <c r="D30" s="9"/>
    </row>
    <row r="31" spans="1:11" x14ac:dyDescent="0.3">
      <c r="A31" s="3">
        <f>A28+1</f>
        <v>10</v>
      </c>
      <c r="B31" s="19"/>
      <c r="C31" s="5"/>
      <c r="D31" s="20"/>
    </row>
    <row r="32" spans="1:11" x14ac:dyDescent="0.3">
      <c r="A32" s="3">
        <f t="shared" ref="A32:A33" si="1">A31+1</f>
        <v>11</v>
      </c>
      <c r="B32" s="21" t="s">
        <v>50</v>
      </c>
      <c r="C32" s="2">
        <f>SUM(C20:C31)</f>
        <v>1380</v>
      </c>
      <c r="D32" s="4"/>
    </row>
    <row r="33" spans="1:4" x14ac:dyDescent="0.3">
      <c r="A33" s="3">
        <f t="shared" si="1"/>
        <v>12</v>
      </c>
      <c r="B33" s="21" t="s">
        <v>51</v>
      </c>
      <c r="C33" s="2">
        <f>E16-C32</f>
        <v>-885</v>
      </c>
      <c r="D33" s="9"/>
    </row>
  </sheetData>
  <mergeCells count="2">
    <mergeCell ref="A1:E1"/>
    <mergeCell ref="A18:D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5D49-3321-47D0-8142-106A42724544}">
  <dimension ref="A1:M33"/>
  <sheetViews>
    <sheetView workbookViewId="0">
      <selection activeCell="H34" sqref="H34"/>
    </sheetView>
  </sheetViews>
  <sheetFormatPr baseColWidth="10" defaultRowHeight="14.4" x14ac:dyDescent="0.3"/>
  <cols>
    <col min="1" max="1" width="7" customWidth="1"/>
    <col min="2" max="2" width="29.88671875" customWidth="1"/>
    <col min="7" max="7" width="6.88671875" customWidth="1"/>
    <col min="8" max="8" width="19.88671875" customWidth="1"/>
    <col min="11" max="11" width="11.44140625" style="42"/>
    <col min="13" max="13" width="15.44140625" bestFit="1" customWidth="1"/>
  </cols>
  <sheetData>
    <row r="1" spans="1:13" x14ac:dyDescent="0.3">
      <c r="A1" s="69" t="s">
        <v>0</v>
      </c>
      <c r="B1" s="70"/>
      <c r="C1" s="70"/>
      <c r="D1" s="70"/>
      <c r="E1" s="70"/>
      <c r="G1" s="69" t="s">
        <v>1</v>
      </c>
      <c r="H1" s="70"/>
      <c r="I1" s="70"/>
      <c r="J1" s="70"/>
      <c r="K1" s="70"/>
      <c r="M1" s="1" t="s">
        <v>2</v>
      </c>
    </row>
    <row r="2" spans="1:13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2">
        <f>E16+K16</f>
        <v>4890</v>
      </c>
    </row>
    <row r="3" spans="1:13" x14ac:dyDescent="0.3">
      <c r="A3" s="3">
        <v>1</v>
      </c>
      <c r="B3" s="19" t="s">
        <v>198</v>
      </c>
      <c r="C3" s="4">
        <v>0</v>
      </c>
      <c r="D3" s="5">
        <v>14</v>
      </c>
      <c r="E3" s="5">
        <f t="shared" ref="E3:E12" si="0">C3*D3</f>
        <v>0</v>
      </c>
      <c r="G3" s="3">
        <v>1</v>
      </c>
      <c r="H3" s="4" t="s">
        <v>201</v>
      </c>
      <c r="I3" s="4">
        <v>10</v>
      </c>
      <c r="J3" s="6">
        <v>10</v>
      </c>
      <c r="K3" s="5">
        <f t="shared" ref="K3:K9" si="1">I3*J3</f>
        <v>100</v>
      </c>
    </row>
    <row r="4" spans="1:13" x14ac:dyDescent="0.3">
      <c r="A4" s="3"/>
      <c r="B4" s="19" t="s">
        <v>197</v>
      </c>
      <c r="C4" s="4">
        <v>10</v>
      </c>
      <c r="D4" s="5">
        <v>14</v>
      </c>
      <c r="E4" s="5">
        <f t="shared" si="0"/>
        <v>140</v>
      </c>
      <c r="G4" s="3">
        <f t="shared" ref="G4:G13" si="2">G3+1</f>
        <v>2</v>
      </c>
      <c r="H4" s="4" t="s">
        <v>202</v>
      </c>
      <c r="I4" s="4">
        <v>6</v>
      </c>
      <c r="J4" s="6">
        <v>6</v>
      </c>
      <c r="K4" s="5">
        <f t="shared" si="1"/>
        <v>36</v>
      </c>
    </row>
    <row r="5" spans="1:13" x14ac:dyDescent="0.3">
      <c r="A5" s="3"/>
      <c r="B5" s="19" t="s">
        <v>199</v>
      </c>
      <c r="C5" s="4">
        <v>9</v>
      </c>
      <c r="D5" s="5">
        <v>14</v>
      </c>
      <c r="E5" s="5">
        <f t="shared" si="0"/>
        <v>126</v>
      </c>
      <c r="G5" s="3">
        <f t="shared" si="2"/>
        <v>3</v>
      </c>
      <c r="H5" s="4" t="s">
        <v>203</v>
      </c>
      <c r="I5" s="4">
        <v>5</v>
      </c>
      <c r="J5" s="6">
        <v>30</v>
      </c>
      <c r="K5" s="5">
        <f t="shared" si="1"/>
        <v>150</v>
      </c>
    </row>
    <row r="6" spans="1:13" x14ac:dyDescent="0.3">
      <c r="A6" s="3"/>
      <c r="B6" s="19" t="s">
        <v>200</v>
      </c>
      <c r="C6" s="4">
        <v>12</v>
      </c>
      <c r="D6" s="5">
        <v>14</v>
      </c>
      <c r="E6" s="5">
        <f t="shared" si="0"/>
        <v>168</v>
      </c>
      <c r="G6" s="3">
        <f t="shared" si="2"/>
        <v>4</v>
      </c>
      <c r="H6" s="4" t="s">
        <v>176</v>
      </c>
      <c r="I6" s="4">
        <v>29.5</v>
      </c>
      <c r="J6" s="6">
        <v>50</v>
      </c>
      <c r="K6" s="5">
        <f t="shared" si="1"/>
        <v>1475</v>
      </c>
    </row>
    <row r="7" spans="1:13" x14ac:dyDescent="0.3">
      <c r="A7" s="3"/>
      <c r="B7" s="19" t="s">
        <v>204</v>
      </c>
      <c r="C7" s="4">
        <v>1</v>
      </c>
      <c r="D7" s="5">
        <v>600</v>
      </c>
      <c r="E7" s="5">
        <f t="shared" si="0"/>
        <v>600</v>
      </c>
      <c r="G7" s="3">
        <f t="shared" si="2"/>
        <v>5</v>
      </c>
      <c r="H7" s="4" t="s">
        <v>205</v>
      </c>
      <c r="I7" s="4">
        <v>3</v>
      </c>
      <c r="J7" s="6">
        <v>300</v>
      </c>
      <c r="K7" s="5">
        <f t="shared" si="1"/>
        <v>900</v>
      </c>
    </row>
    <row r="8" spans="1:13" x14ac:dyDescent="0.3">
      <c r="A8" s="3"/>
      <c r="B8" s="68" t="s">
        <v>209</v>
      </c>
      <c r="C8" s="4">
        <v>50</v>
      </c>
      <c r="D8" s="5">
        <v>7</v>
      </c>
      <c r="E8" s="5">
        <f t="shared" si="0"/>
        <v>350</v>
      </c>
      <c r="G8" s="7">
        <f t="shared" si="2"/>
        <v>6</v>
      </c>
      <c r="H8" s="16" t="s">
        <v>206</v>
      </c>
      <c r="I8" s="16">
        <v>3</v>
      </c>
      <c r="J8" s="17">
        <v>100</v>
      </c>
      <c r="K8" s="5">
        <f t="shared" si="1"/>
        <v>300</v>
      </c>
      <c r="M8" s="10"/>
    </row>
    <row r="9" spans="1:13" x14ac:dyDescent="0.3">
      <c r="A9" s="3"/>
      <c r="B9" s="4" t="s">
        <v>207</v>
      </c>
      <c r="C9" s="4">
        <v>33</v>
      </c>
      <c r="D9" s="5">
        <v>15</v>
      </c>
      <c r="E9" s="5">
        <f t="shared" si="0"/>
        <v>495</v>
      </c>
      <c r="G9" s="33">
        <f t="shared" si="2"/>
        <v>7</v>
      </c>
      <c r="H9" s="41"/>
      <c r="I9" s="41"/>
      <c r="J9" s="59"/>
      <c r="K9" s="5">
        <f t="shared" si="1"/>
        <v>0</v>
      </c>
    </row>
    <row r="10" spans="1:13" x14ac:dyDescent="0.3">
      <c r="A10" s="3"/>
      <c r="B10" s="4" t="s">
        <v>208</v>
      </c>
      <c r="C10" s="4">
        <v>1</v>
      </c>
      <c r="D10" s="5">
        <v>50</v>
      </c>
      <c r="E10" s="5">
        <f t="shared" si="0"/>
        <v>50</v>
      </c>
      <c r="G10" s="33">
        <f t="shared" si="2"/>
        <v>8</v>
      </c>
      <c r="H10" s="41"/>
      <c r="I10" s="41"/>
      <c r="J10" s="59"/>
      <c r="K10" s="27"/>
    </row>
    <row r="11" spans="1:13" x14ac:dyDescent="0.3">
      <c r="A11" s="3"/>
      <c r="B11" s="4"/>
      <c r="C11" s="4"/>
      <c r="D11" s="5"/>
      <c r="E11" s="5">
        <f t="shared" si="0"/>
        <v>0</v>
      </c>
      <c r="G11" s="33">
        <f t="shared" si="2"/>
        <v>9</v>
      </c>
      <c r="H11" s="41"/>
      <c r="I11" s="41"/>
      <c r="J11" s="59"/>
      <c r="K11" s="27"/>
    </row>
    <row r="12" spans="1:13" x14ac:dyDescent="0.3">
      <c r="A12" s="3"/>
      <c r="B12" s="4"/>
      <c r="C12" s="4"/>
      <c r="D12" s="5"/>
      <c r="E12" s="5">
        <f t="shared" si="0"/>
        <v>0</v>
      </c>
      <c r="G12" s="33">
        <f t="shared" si="2"/>
        <v>10</v>
      </c>
      <c r="H12" s="41"/>
      <c r="I12" s="41"/>
      <c r="J12" s="59"/>
      <c r="K12" s="27"/>
    </row>
    <row r="13" spans="1:13" x14ac:dyDescent="0.3">
      <c r="A13" s="3"/>
      <c r="B13" s="4"/>
      <c r="C13" s="4"/>
      <c r="D13" s="5"/>
      <c r="E13" s="5"/>
      <c r="G13" s="33">
        <f t="shared" si="2"/>
        <v>11</v>
      </c>
      <c r="H13" s="41"/>
      <c r="I13" s="41"/>
      <c r="J13" s="27"/>
      <c r="K13" s="27"/>
    </row>
    <row r="14" spans="1:13" x14ac:dyDescent="0.3">
      <c r="A14" s="3"/>
      <c r="B14" s="4"/>
      <c r="C14" s="4"/>
      <c r="D14" s="5"/>
      <c r="E14" s="5"/>
      <c r="G14" s="28"/>
      <c r="H14" s="28"/>
      <c r="I14" s="28"/>
      <c r="J14" s="28"/>
      <c r="K14" s="60"/>
    </row>
    <row r="15" spans="1:13" x14ac:dyDescent="0.3">
      <c r="A15" s="3"/>
      <c r="B15" s="1" t="s">
        <v>53</v>
      </c>
      <c r="C15" s="8"/>
      <c r="D15" s="5"/>
      <c r="E15" s="2"/>
      <c r="G15" s="28"/>
      <c r="H15" s="28"/>
      <c r="I15" s="28"/>
      <c r="J15" s="28"/>
      <c r="K15" s="60"/>
    </row>
    <row r="16" spans="1:13" x14ac:dyDescent="0.3">
      <c r="A16" s="3"/>
      <c r="B16" s="1" t="s">
        <v>25</v>
      </c>
      <c r="C16" s="4"/>
      <c r="D16" s="5"/>
      <c r="E16" s="2">
        <f>SUM(E3:E15)</f>
        <v>1929</v>
      </c>
      <c r="G16" s="28"/>
      <c r="H16" s="28"/>
      <c r="I16" s="28"/>
      <c r="J16" s="1" t="s">
        <v>25</v>
      </c>
      <c r="K16" s="61">
        <f>SUM(K3:K15)</f>
        <v>2961</v>
      </c>
    </row>
    <row r="18" spans="1:4" x14ac:dyDescent="0.3">
      <c r="A18" s="69" t="s">
        <v>26</v>
      </c>
      <c r="B18" s="70"/>
      <c r="C18" s="70"/>
      <c r="D18" s="70"/>
    </row>
    <row r="19" spans="1:4" x14ac:dyDescent="0.3">
      <c r="A19" s="13" t="s">
        <v>3</v>
      </c>
      <c r="B19" s="13" t="s">
        <v>4</v>
      </c>
      <c r="C19" s="13" t="s">
        <v>28</v>
      </c>
      <c r="D19" s="13" t="s">
        <v>29</v>
      </c>
    </row>
    <row r="20" spans="1:4" x14ac:dyDescent="0.3">
      <c r="A20" s="3">
        <v>1</v>
      </c>
      <c r="B20" s="14"/>
      <c r="C20" s="5"/>
      <c r="D20" s="15"/>
    </row>
    <row r="21" spans="1:4" x14ac:dyDescent="0.3">
      <c r="A21" s="3">
        <f t="shared" ref="A21:A30" si="3">A20+1</f>
        <v>2</v>
      </c>
      <c r="B21" s="14"/>
      <c r="C21" s="5"/>
      <c r="D21" s="15"/>
    </row>
    <row r="22" spans="1:4" x14ac:dyDescent="0.3">
      <c r="A22" s="3">
        <f t="shared" si="3"/>
        <v>3</v>
      </c>
      <c r="B22" s="19"/>
      <c r="C22" s="5"/>
      <c r="D22" s="15"/>
    </row>
    <row r="23" spans="1:4" x14ac:dyDescent="0.3">
      <c r="A23" s="3">
        <f t="shared" si="3"/>
        <v>4</v>
      </c>
      <c r="B23" s="19"/>
      <c r="C23" s="5"/>
      <c r="D23" s="15"/>
    </row>
    <row r="24" spans="1:4" x14ac:dyDescent="0.3">
      <c r="A24" s="3">
        <f t="shared" si="3"/>
        <v>5</v>
      </c>
      <c r="B24" s="19"/>
      <c r="C24" s="5"/>
      <c r="D24" s="15"/>
    </row>
    <row r="25" spans="1:4" x14ac:dyDescent="0.3">
      <c r="A25" s="3">
        <f t="shared" si="3"/>
        <v>6</v>
      </c>
      <c r="B25" s="19"/>
      <c r="C25" s="5"/>
      <c r="D25" s="15"/>
    </row>
    <row r="26" spans="1:4" x14ac:dyDescent="0.3">
      <c r="A26" s="3">
        <f t="shared" si="3"/>
        <v>7</v>
      </c>
      <c r="B26" s="19"/>
      <c r="C26" s="5"/>
      <c r="D26" s="15"/>
    </row>
    <row r="27" spans="1:4" x14ac:dyDescent="0.3">
      <c r="A27" s="3">
        <f t="shared" si="3"/>
        <v>8</v>
      </c>
      <c r="B27" s="19"/>
      <c r="C27" s="5"/>
      <c r="D27" s="15"/>
    </row>
    <row r="28" spans="1:4" x14ac:dyDescent="0.3">
      <c r="A28" s="3">
        <f t="shared" si="3"/>
        <v>9</v>
      </c>
      <c r="B28" s="19"/>
      <c r="C28" s="5"/>
      <c r="D28" s="15"/>
    </row>
    <row r="29" spans="1:4" x14ac:dyDescent="0.3">
      <c r="A29" s="3">
        <f t="shared" si="3"/>
        <v>10</v>
      </c>
      <c r="B29" s="19"/>
      <c r="C29" s="5"/>
      <c r="D29" s="9"/>
    </row>
    <row r="30" spans="1:4" x14ac:dyDescent="0.3">
      <c r="A30" s="3">
        <f t="shared" si="3"/>
        <v>11</v>
      </c>
      <c r="B30" s="19"/>
      <c r="C30" s="5"/>
      <c r="D30" s="9"/>
    </row>
    <row r="31" spans="1:4" x14ac:dyDescent="0.3">
      <c r="A31" s="3">
        <f>A28+1</f>
        <v>10</v>
      </c>
      <c r="B31" s="19"/>
      <c r="C31" s="5"/>
      <c r="D31" s="20"/>
    </row>
    <row r="32" spans="1:4" x14ac:dyDescent="0.3">
      <c r="A32" s="3">
        <f t="shared" ref="A32:A33" si="4">A31+1</f>
        <v>11</v>
      </c>
      <c r="B32" s="21" t="s">
        <v>50</v>
      </c>
      <c r="C32" s="2">
        <f>SUM(C20:C31)</f>
        <v>0</v>
      </c>
      <c r="D32" s="4"/>
    </row>
    <row r="33" spans="1:4" x14ac:dyDescent="0.3">
      <c r="A33" s="3">
        <f t="shared" si="4"/>
        <v>12</v>
      </c>
      <c r="B33" s="21" t="s">
        <v>51</v>
      </c>
      <c r="C33" s="2">
        <f>E16-C32</f>
        <v>1929</v>
      </c>
      <c r="D33" s="9"/>
    </row>
  </sheetData>
  <mergeCells count="3">
    <mergeCell ref="A1:E1"/>
    <mergeCell ref="G1:K1"/>
    <mergeCell ref="A18:D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971A-7D6E-4E51-8F09-A77F27E41B5A}">
  <dimension ref="A1:M33"/>
  <sheetViews>
    <sheetView workbookViewId="0">
      <selection activeCell="H13" sqref="H13"/>
    </sheetView>
  </sheetViews>
  <sheetFormatPr baseColWidth="10" defaultRowHeight="14.4" x14ac:dyDescent="0.3"/>
  <cols>
    <col min="1" max="1" width="7" customWidth="1"/>
    <col min="2" max="2" width="29.88671875" customWidth="1"/>
    <col min="7" max="7" width="6.88671875" customWidth="1"/>
    <col min="8" max="8" width="19.88671875" customWidth="1"/>
    <col min="11" max="11" width="11.44140625" style="42"/>
    <col min="13" max="13" width="15.44140625" bestFit="1" customWidth="1"/>
  </cols>
  <sheetData>
    <row r="1" spans="1:13" x14ac:dyDescent="0.3">
      <c r="A1" s="69" t="s">
        <v>0</v>
      </c>
      <c r="B1" s="70"/>
      <c r="C1" s="70"/>
      <c r="D1" s="70"/>
      <c r="E1" s="70"/>
      <c r="G1" s="69" t="s">
        <v>1</v>
      </c>
      <c r="H1" s="70"/>
      <c r="I1" s="70"/>
      <c r="J1" s="70"/>
      <c r="K1" s="70"/>
      <c r="M1" s="1" t="s">
        <v>2</v>
      </c>
    </row>
    <row r="2" spans="1:13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2">
        <f>E16+K16</f>
        <v>5183</v>
      </c>
    </row>
    <row r="3" spans="1:13" x14ac:dyDescent="0.3">
      <c r="A3" s="3">
        <v>1</v>
      </c>
      <c r="B3" s="19" t="s">
        <v>198</v>
      </c>
      <c r="C3" s="4">
        <v>0</v>
      </c>
      <c r="D3" s="5">
        <v>14</v>
      </c>
      <c r="E3" s="5">
        <f t="shared" ref="E3:E12" si="0">C3*D3</f>
        <v>0</v>
      </c>
      <c r="G3" s="3">
        <v>1</v>
      </c>
      <c r="H3" s="4" t="s">
        <v>201</v>
      </c>
      <c r="I3" s="4">
        <v>10</v>
      </c>
      <c r="J3" s="6">
        <v>20</v>
      </c>
      <c r="K3" s="5">
        <f t="shared" ref="K3:K9" si="1">I3*J3</f>
        <v>200</v>
      </c>
    </row>
    <row r="4" spans="1:13" x14ac:dyDescent="0.3">
      <c r="A4" s="3"/>
      <c r="B4" s="19" t="s">
        <v>197</v>
      </c>
      <c r="C4" s="4">
        <v>10</v>
      </c>
      <c r="D4" s="5">
        <v>17</v>
      </c>
      <c r="E4" s="5">
        <f t="shared" si="0"/>
        <v>170</v>
      </c>
      <c r="G4" s="3">
        <f t="shared" ref="G4:G13" si="2">G3+1</f>
        <v>2</v>
      </c>
      <c r="H4" s="4" t="s">
        <v>202</v>
      </c>
      <c r="I4" s="4">
        <v>6</v>
      </c>
      <c r="J4" s="6">
        <v>6</v>
      </c>
      <c r="K4" s="5">
        <f t="shared" si="1"/>
        <v>36</v>
      </c>
    </row>
    <row r="5" spans="1:13" x14ac:dyDescent="0.3">
      <c r="A5" s="3"/>
      <c r="B5" s="19" t="s">
        <v>199</v>
      </c>
      <c r="C5" s="4">
        <v>9</v>
      </c>
      <c r="D5" s="5">
        <v>17</v>
      </c>
      <c r="E5" s="5">
        <f t="shared" si="0"/>
        <v>153</v>
      </c>
      <c r="G5" s="3">
        <f t="shared" si="2"/>
        <v>3</v>
      </c>
      <c r="H5" s="4" t="s">
        <v>203</v>
      </c>
      <c r="I5" s="4">
        <v>5</v>
      </c>
      <c r="J5" s="6">
        <v>30</v>
      </c>
      <c r="K5" s="5">
        <f t="shared" si="1"/>
        <v>150</v>
      </c>
    </row>
    <row r="6" spans="1:13" x14ac:dyDescent="0.3">
      <c r="A6" s="3"/>
      <c r="B6" s="19" t="s">
        <v>200</v>
      </c>
      <c r="C6" s="4">
        <v>12</v>
      </c>
      <c r="D6" s="5">
        <v>17</v>
      </c>
      <c r="E6" s="5">
        <f t="shared" si="0"/>
        <v>204</v>
      </c>
      <c r="G6" s="3">
        <f t="shared" si="2"/>
        <v>4</v>
      </c>
      <c r="H6" s="4" t="s">
        <v>176</v>
      </c>
      <c r="I6" s="4">
        <v>29.5</v>
      </c>
      <c r="J6" s="6">
        <v>50</v>
      </c>
      <c r="K6" s="5">
        <f t="shared" si="1"/>
        <v>1475</v>
      </c>
    </row>
    <row r="7" spans="1:13" x14ac:dyDescent="0.3">
      <c r="A7" s="3"/>
      <c r="B7" s="19" t="s">
        <v>204</v>
      </c>
      <c r="C7" s="4">
        <v>1</v>
      </c>
      <c r="D7" s="5">
        <v>600</v>
      </c>
      <c r="E7" s="5">
        <f t="shared" si="0"/>
        <v>600</v>
      </c>
      <c r="G7" s="3">
        <f t="shared" si="2"/>
        <v>5</v>
      </c>
      <c r="H7" s="4" t="s">
        <v>205</v>
      </c>
      <c r="I7" s="4">
        <v>3</v>
      </c>
      <c r="J7" s="6">
        <v>300</v>
      </c>
      <c r="K7" s="5">
        <f t="shared" si="1"/>
        <v>900</v>
      </c>
    </row>
    <row r="8" spans="1:13" x14ac:dyDescent="0.3">
      <c r="A8" s="3"/>
      <c r="B8" s="68" t="s">
        <v>209</v>
      </c>
      <c r="C8" s="4">
        <v>50</v>
      </c>
      <c r="D8" s="5">
        <v>9</v>
      </c>
      <c r="E8" s="5">
        <f t="shared" si="0"/>
        <v>450</v>
      </c>
      <c r="G8" s="7">
        <f t="shared" si="2"/>
        <v>6</v>
      </c>
      <c r="H8" s="16" t="s">
        <v>206</v>
      </c>
      <c r="I8" s="16">
        <v>3</v>
      </c>
      <c r="J8" s="17">
        <v>100</v>
      </c>
      <c r="K8" s="5">
        <f t="shared" si="1"/>
        <v>300</v>
      </c>
      <c r="M8" s="10"/>
    </row>
    <row r="9" spans="1:13" x14ac:dyDescent="0.3">
      <c r="A9" s="3"/>
      <c r="B9" s="4" t="s">
        <v>207</v>
      </c>
      <c r="C9" s="4">
        <v>33</v>
      </c>
      <c r="D9" s="5">
        <v>15</v>
      </c>
      <c r="E9" s="5">
        <f t="shared" si="0"/>
        <v>495</v>
      </c>
      <c r="G9" s="33">
        <f t="shared" si="2"/>
        <v>7</v>
      </c>
      <c r="H9" s="41"/>
      <c r="I9" s="41"/>
      <c r="J9" s="59"/>
      <c r="K9" s="5">
        <f t="shared" si="1"/>
        <v>0</v>
      </c>
    </row>
    <row r="10" spans="1:13" x14ac:dyDescent="0.3">
      <c r="A10" s="3"/>
      <c r="B10" s="4" t="s">
        <v>208</v>
      </c>
      <c r="C10" s="4">
        <v>1</v>
      </c>
      <c r="D10" s="5">
        <v>50</v>
      </c>
      <c r="E10" s="5">
        <f t="shared" si="0"/>
        <v>50</v>
      </c>
      <c r="G10" s="33">
        <f t="shared" si="2"/>
        <v>8</v>
      </c>
      <c r="H10" s="41"/>
      <c r="I10" s="41"/>
      <c r="J10" s="59"/>
      <c r="K10" s="27"/>
    </row>
    <row r="11" spans="1:13" x14ac:dyDescent="0.3">
      <c r="A11" s="3"/>
      <c r="B11" s="4"/>
      <c r="C11" s="4"/>
      <c r="D11" s="5"/>
      <c r="E11" s="5">
        <f t="shared" si="0"/>
        <v>0</v>
      </c>
      <c r="G11" s="33">
        <f t="shared" si="2"/>
        <v>9</v>
      </c>
      <c r="H11" s="41"/>
      <c r="I11" s="41"/>
      <c r="J11" s="59"/>
      <c r="K11" s="27"/>
    </row>
    <row r="12" spans="1:13" x14ac:dyDescent="0.3">
      <c r="A12" s="3"/>
      <c r="B12" s="4"/>
      <c r="C12" s="4"/>
      <c r="D12" s="5"/>
      <c r="E12" s="5">
        <f t="shared" si="0"/>
        <v>0</v>
      </c>
      <c r="G12" s="33">
        <f t="shared" si="2"/>
        <v>10</v>
      </c>
      <c r="H12" s="41"/>
      <c r="I12" s="41"/>
      <c r="J12" s="59"/>
      <c r="K12" s="27"/>
    </row>
    <row r="13" spans="1:13" x14ac:dyDescent="0.3">
      <c r="A13" s="3"/>
      <c r="B13" s="4"/>
      <c r="C13" s="4"/>
      <c r="D13" s="5"/>
      <c r="E13" s="5"/>
      <c r="G13" s="33">
        <f t="shared" si="2"/>
        <v>11</v>
      </c>
      <c r="H13" s="41"/>
      <c r="I13" s="41"/>
      <c r="J13" s="27"/>
      <c r="K13" s="27"/>
    </row>
    <row r="14" spans="1:13" x14ac:dyDescent="0.3">
      <c r="A14" s="3"/>
      <c r="B14" s="4"/>
      <c r="C14" s="4"/>
      <c r="D14" s="5"/>
      <c r="E14" s="5"/>
      <c r="G14" s="28"/>
      <c r="H14" s="28"/>
      <c r="I14" s="28"/>
      <c r="J14" s="28"/>
      <c r="K14" s="60"/>
    </row>
    <row r="15" spans="1:13" x14ac:dyDescent="0.3">
      <c r="A15" s="3"/>
      <c r="B15" s="1" t="s">
        <v>53</v>
      </c>
      <c r="C15" s="8"/>
      <c r="D15" s="5"/>
      <c r="E15" s="2"/>
      <c r="G15" s="28"/>
      <c r="H15" s="28"/>
      <c r="I15" s="28"/>
      <c r="J15" s="28"/>
      <c r="K15" s="60"/>
    </row>
    <row r="16" spans="1:13" x14ac:dyDescent="0.3">
      <c r="A16" s="3"/>
      <c r="B16" s="1" t="s">
        <v>25</v>
      </c>
      <c r="C16" s="4"/>
      <c r="D16" s="5"/>
      <c r="E16" s="2">
        <f>SUM(E3:E15)</f>
        <v>2122</v>
      </c>
      <c r="G16" s="28"/>
      <c r="H16" s="28"/>
      <c r="I16" s="28"/>
      <c r="J16" s="1" t="s">
        <v>25</v>
      </c>
      <c r="K16" s="61">
        <f>SUM(K3:K15)</f>
        <v>3061</v>
      </c>
    </row>
    <row r="18" spans="1:4" x14ac:dyDescent="0.3">
      <c r="A18" s="69" t="s">
        <v>26</v>
      </c>
      <c r="B18" s="70"/>
      <c r="C18" s="70"/>
      <c r="D18" s="70"/>
    </row>
    <row r="19" spans="1:4" x14ac:dyDescent="0.3">
      <c r="A19" s="13" t="s">
        <v>3</v>
      </c>
      <c r="B19" s="13" t="s">
        <v>4</v>
      </c>
      <c r="C19" s="13" t="s">
        <v>28</v>
      </c>
      <c r="D19" s="13" t="s">
        <v>29</v>
      </c>
    </row>
    <row r="20" spans="1:4" x14ac:dyDescent="0.3">
      <c r="A20" s="3">
        <v>1</v>
      </c>
      <c r="B20" s="14"/>
      <c r="C20" s="5"/>
      <c r="D20" s="15"/>
    </row>
    <row r="21" spans="1:4" x14ac:dyDescent="0.3">
      <c r="A21" s="3">
        <f t="shared" ref="A21:A30" si="3">A20+1</f>
        <v>2</v>
      </c>
      <c r="B21" s="14"/>
      <c r="C21" s="5"/>
      <c r="D21" s="15"/>
    </row>
    <row r="22" spans="1:4" x14ac:dyDescent="0.3">
      <c r="A22" s="3">
        <f t="shared" si="3"/>
        <v>3</v>
      </c>
      <c r="B22" s="19"/>
      <c r="C22" s="5"/>
      <c r="D22" s="15"/>
    </row>
    <row r="23" spans="1:4" x14ac:dyDescent="0.3">
      <c r="A23" s="3">
        <f t="shared" si="3"/>
        <v>4</v>
      </c>
      <c r="B23" s="19"/>
      <c r="C23" s="5"/>
      <c r="D23" s="15"/>
    </row>
    <row r="24" spans="1:4" x14ac:dyDescent="0.3">
      <c r="A24" s="3">
        <f t="shared" si="3"/>
        <v>5</v>
      </c>
      <c r="B24" s="19"/>
      <c r="C24" s="5"/>
      <c r="D24" s="15"/>
    </row>
    <row r="25" spans="1:4" x14ac:dyDescent="0.3">
      <c r="A25" s="3">
        <f t="shared" si="3"/>
        <v>6</v>
      </c>
      <c r="B25" s="19"/>
      <c r="C25" s="5"/>
      <c r="D25" s="15"/>
    </row>
    <row r="26" spans="1:4" x14ac:dyDescent="0.3">
      <c r="A26" s="3">
        <f t="shared" si="3"/>
        <v>7</v>
      </c>
      <c r="B26" s="19"/>
      <c r="C26" s="5"/>
      <c r="D26" s="15"/>
    </row>
    <row r="27" spans="1:4" x14ac:dyDescent="0.3">
      <c r="A27" s="3">
        <f t="shared" si="3"/>
        <v>8</v>
      </c>
      <c r="B27" s="19"/>
      <c r="C27" s="5"/>
      <c r="D27" s="15"/>
    </row>
    <row r="28" spans="1:4" x14ac:dyDescent="0.3">
      <c r="A28" s="3">
        <f t="shared" si="3"/>
        <v>9</v>
      </c>
      <c r="B28" s="19"/>
      <c r="C28" s="5"/>
      <c r="D28" s="15"/>
    </row>
    <row r="29" spans="1:4" x14ac:dyDescent="0.3">
      <c r="A29" s="3">
        <f t="shared" si="3"/>
        <v>10</v>
      </c>
      <c r="B29" s="19"/>
      <c r="C29" s="5"/>
      <c r="D29" s="9"/>
    </row>
    <row r="30" spans="1:4" x14ac:dyDescent="0.3">
      <c r="A30" s="3">
        <f t="shared" si="3"/>
        <v>11</v>
      </c>
      <c r="B30" s="19"/>
      <c r="C30" s="5"/>
      <c r="D30" s="9"/>
    </row>
    <row r="31" spans="1:4" x14ac:dyDescent="0.3">
      <c r="A31" s="3">
        <f>A28+1</f>
        <v>10</v>
      </c>
      <c r="B31" s="19"/>
      <c r="C31" s="5"/>
      <c r="D31" s="20"/>
    </row>
    <row r="32" spans="1:4" x14ac:dyDescent="0.3">
      <c r="A32" s="3">
        <f t="shared" ref="A32:A33" si="4">A31+1</f>
        <v>11</v>
      </c>
      <c r="B32" s="21" t="s">
        <v>50</v>
      </c>
      <c r="C32" s="2">
        <f>SUM(C20:C31)</f>
        <v>0</v>
      </c>
      <c r="D32" s="4"/>
    </row>
    <row r="33" spans="1:4" x14ac:dyDescent="0.3">
      <c r="A33" s="3">
        <f t="shared" si="4"/>
        <v>12</v>
      </c>
      <c r="B33" s="21" t="s">
        <v>51</v>
      </c>
      <c r="C33" s="2">
        <f>E16-C32</f>
        <v>2122</v>
      </c>
      <c r="D33" s="9"/>
    </row>
  </sheetData>
  <mergeCells count="3">
    <mergeCell ref="A1:E1"/>
    <mergeCell ref="G1:K1"/>
    <mergeCell ref="A18:D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5F77-8B3E-4770-8CE0-6B0AFDB6886B}">
  <dimension ref="A1:O33"/>
  <sheetViews>
    <sheetView workbookViewId="0">
      <selection activeCell="B9" sqref="B9"/>
    </sheetView>
  </sheetViews>
  <sheetFormatPr baseColWidth="10" defaultRowHeight="14.4" x14ac:dyDescent="0.3"/>
  <cols>
    <col min="1" max="1" width="7" customWidth="1"/>
    <col min="2" max="2" width="29.88671875" customWidth="1"/>
    <col min="7" max="7" width="6.88671875" customWidth="1"/>
    <col min="8" max="8" width="19.88671875" customWidth="1"/>
    <col min="11" max="11" width="11.44140625" style="42"/>
    <col min="13" max="13" width="15.44140625" bestFit="1" customWidth="1"/>
  </cols>
  <sheetData>
    <row r="1" spans="1:15" x14ac:dyDescent="0.3">
      <c r="A1" s="69" t="s">
        <v>0</v>
      </c>
      <c r="B1" s="70"/>
      <c r="C1" s="70"/>
      <c r="D1" s="70"/>
      <c r="E1" s="70"/>
      <c r="G1" s="69" t="s">
        <v>1</v>
      </c>
      <c r="H1" s="70"/>
      <c r="I1" s="70"/>
      <c r="J1" s="70"/>
      <c r="K1" s="70"/>
      <c r="M1" s="1" t="s">
        <v>2</v>
      </c>
      <c r="O1">
        <v>11.9</v>
      </c>
    </row>
    <row r="2" spans="1:15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2">
        <f>E16+K16</f>
        <v>4638.5</v>
      </c>
      <c r="O2">
        <v>12.69</v>
      </c>
    </row>
    <row r="3" spans="1:15" x14ac:dyDescent="0.3">
      <c r="A3" s="3">
        <v>1</v>
      </c>
      <c r="B3" s="19" t="s">
        <v>198</v>
      </c>
      <c r="C3" s="4">
        <v>8.4</v>
      </c>
      <c r="D3" s="5">
        <v>14</v>
      </c>
      <c r="E3" s="5">
        <f t="shared" ref="E3:E12" si="0">C3*D3</f>
        <v>117.60000000000001</v>
      </c>
      <c r="G3" s="3">
        <v>1</v>
      </c>
      <c r="H3" s="4" t="s">
        <v>201</v>
      </c>
      <c r="I3" s="4">
        <v>10</v>
      </c>
      <c r="J3" s="6">
        <v>10</v>
      </c>
      <c r="K3" s="5">
        <f t="shared" ref="K3:K9" si="1">I3*J3</f>
        <v>100</v>
      </c>
      <c r="O3">
        <v>11.07</v>
      </c>
    </row>
    <row r="4" spans="1:15" x14ac:dyDescent="0.3">
      <c r="A4" s="3"/>
      <c r="B4" s="19" t="s">
        <v>197</v>
      </c>
      <c r="C4" s="4">
        <v>6.75</v>
      </c>
      <c r="D4" s="5">
        <v>14</v>
      </c>
      <c r="E4" s="5">
        <f t="shared" si="0"/>
        <v>94.5</v>
      </c>
      <c r="G4" s="3">
        <f t="shared" ref="G4:G13" si="2">G3+1</f>
        <v>2</v>
      </c>
      <c r="H4" s="4" t="s">
        <v>202</v>
      </c>
      <c r="I4" s="4">
        <v>6</v>
      </c>
      <c r="J4" s="6">
        <v>6</v>
      </c>
      <c r="K4" s="5">
        <f t="shared" si="1"/>
        <v>36</v>
      </c>
      <c r="O4">
        <v>19.37</v>
      </c>
    </row>
    <row r="5" spans="1:15" x14ac:dyDescent="0.3">
      <c r="A5" s="3"/>
      <c r="B5" s="19" t="s">
        <v>199</v>
      </c>
      <c r="C5" s="4">
        <v>8.6</v>
      </c>
      <c r="D5" s="5">
        <v>14</v>
      </c>
      <c r="E5" s="5">
        <f t="shared" si="0"/>
        <v>120.39999999999999</v>
      </c>
      <c r="G5" s="3">
        <f t="shared" si="2"/>
        <v>3</v>
      </c>
      <c r="H5" s="4" t="s">
        <v>203</v>
      </c>
      <c r="I5" s="4">
        <v>5</v>
      </c>
      <c r="J5" s="6">
        <v>30</v>
      </c>
      <c r="K5" s="5">
        <f t="shared" si="1"/>
        <v>150</v>
      </c>
      <c r="O5">
        <f>SUM(O1:O4)</f>
        <v>55.03</v>
      </c>
    </row>
    <row r="6" spans="1:15" x14ac:dyDescent="0.3">
      <c r="A6" s="3"/>
      <c r="B6" s="19" t="s">
        <v>200</v>
      </c>
      <c r="C6" s="4">
        <v>7.5</v>
      </c>
      <c r="D6" s="5">
        <v>14</v>
      </c>
      <c r="E6" s="5">
        <f t="shared" si="0"/>
        <v>105</v>
      </c>
      <c r="G6" s="3">
        <f t="shared" si="2"/>
        <v>4</v>
      </c>
      <c r="H6" s="4" t="s">
        <v>176</v>
      </c>
      <c r="I6" s="4">
        <v>29.5</v>
      </c>
      <c r="J6" s="6">
        <v>50</v>
      </c>
      <c r="K6" s="5">
        <f t="shared" si="1"/>
        <v>1475</v>
      </c>
    </row>
    <row r="7" spans="1:15" x14ac:dyDescent="0.3">
      <c r="A7" s="3"/>
      <c r="B7" s="19" t="s">
        <v>204</v>
      </c>
      <c r="C7" s="4">
        <v>1</v>
      </c>
      <c r="D7" s="5">
        <v>400</v>
      </c>
      <c r="E7" s="5">
        <f t="shared" si="0"/>
        <v>400</v>
      </c>
      <c r="G7" s="3">
        <f t="shared" si="2"/>
        <v>5</v>
      </c>
      <c r="H7" s="4" t="s">
        <v>205</v>
      </c>
      <c r="I7" s="4">
        <v>3</v>
      </c>
      <c r="J7" s="6">
        <v>300</v>
      </c>
      <c r="K7" s="5">
        <f t="shared" si="1"/>
        <v>900</v>
      </c>
    </row>
    <row r="8" spans="1:15" x14ac:dyDescent="0.3">
      <c r="A8" s="3"/>
      <c r="B8" s="68" t="s">
        <v>209</v>
      </c>
      <c r="C8" s="4">
        <v>55</v>
      </c>
      <c r="D8" s="5">
        <v>7</v>
      </c>
      <c r="E8" s="5">
        <f t="shared" si="0"/>
        <v>385</v>
      </c>
      <c r="G8" s="7">
        <f t="shared" si="2"/>
        <v>6</v>
      </c>
      <c r="H8" s="16" t="s">
        <v>206</v>
      </c>
      <c r="I8" s="16">
        <v>3</v>
      </c>
      <c r="J8" s="17">
        <v>100</v>
      </c>
      <c r="K8" s="5">
        <f t="shared" si="1"/>
        <v>300</v>
      </c>
      <c r="M8" s="10"/>
    </row>
    <row r="9" spans="1:15" x14ac:dyDescent="0.3">
      <c r="A9" s="3"/>
      <c r="B9" s="4" t="s">
        <v>207</v>
      </c>
      <c r="C9" s="4">
        <v>27</v>
      </c>
      <c r="D9" s="5">
        <v>15</v>
      </c>
      <c r="E9" s="5">
        <f t="shared" si="0"/>
        <v>405</v>
      </c>
      <c r="G9" s="33">
        <f t="shared" si="2"/>
        <v>7</v>
      </c>
      <c r="H9" s="41"/>
      <c r="I9" s="41"/>
      <c r="J9" s="59"/>
      <c r="K9" s="5">
        <f t="shared" si="1"/>
        <v>0</v>
      </c>
    </row>
    <row r="10" spans="1:15" x14ac:dyDescent="0.3">
      <c r="A10" s="3"/>
      <c r="B10" s="4" t="s">
        <v>208</v>
      </c>
      <c r="C10" s="4">
        <v>1</v>
      </c>
      <c r="D10" s="5">
        <v>50</v>
      </c>
      <c r="E10" s="5">
        <f t="shared" si="0"/>
        <v>50</v>
      </c>
      <c r="G10" s="33">
        <f t="shared" si="2"/>
        <v>8</v>
      </c>
      <c r="H10" s="41"/>
      <c r="I10" s="41"/>
      <c r="J10" s="59"/>
      <c r="K10" s="27"/>
    </row>
    <row r="11" spans="1:15" x14ac:dyDescent="0.3">
      <c r="A11" s="3"/>
      <c r="B11" s="4"/>
      <c r="C11" s="4"/>
      <c r="D11" s="5"/>
      <c r="E11" s="5">
        <f t="shared" si="0"/>
        <v>0</v>
      </c>
      <c r="G11" s="33">
        <f t="shared" si="2"/>
        <v>9</v>
      </c>
      <c r="H11" s="41"/>
      <c r="I11" s="41"/>
      <c r="J11" s="59"/>
      <c r="K11" s="27"/>
    </row>
    <row r="12" spans="1:15" x14ac:dyDescent="0.3">
      <c r="A12" s="3"/>
      <c r="B12" s="4"/>
      <c r="C12" s="4"/>
      <c r="D12" s="5"/>
      <c r="E12" s="5">
        <f t="shared" si="0"/>
        <v>0</v>
      </c>
      <c r="G12" s="33">
        <f t="shared" si="2"/>
        <v>10</v>
      </c>
      <c r="H12" s="41"/>
      <c r="I12" s="41"/>
      <c r="J12" s="59"/>
      <c r="K12" s="27"/>
    </row>
    <row r="13" spans="1:15" x14ac:dyDescent="0.3">
      <c r="A13" s="3"/>
      <c r="B13" s="4"/>
      <c r="C13" s="4"/>
      <c r="D13" s="5"/>
      <c r="E13" s="5"/>
      <c r="G13" s="33">
        <f t="shared" si="2"/>
        <v>11</v>
      </c>
      <c r="H13" s="41"/>
      <c r="I13" s="41"/>
      <c r="J13" s="27"/>
      <c r="K13" s="27"/>
    </row>
    <row r="14" spans="1:15" x14ac:dyDescent="0.3">
      <c r="A14" s="3"/>
      <c r="B14" s="4"/>
      <c r="C14" s="4"/>
      <c r="D14" s="5"/>
      <c r="E14" s="5"/>
      <c r="G14" s="28"/>
      <c r="H14" s="28"/>
      <c r="I14" s="28"/>
      <c r="J14" s="28"/>
      <c r="K14" s="60"/>
    </row>
    <row r="15" spans="1:15" x14ac:dyDescent="0.3">
      <c r="A15" s="3"/>
      <c r="B15" s="1" t="s">
        <v>53</v>
      </c>
      <c r="C15" s="8"/>
      <c r="D15" s="5"/>
      <c r="E15" s="2"/>
      <c r="G15" s="28"/>
      <c r="H15" s="28"/>
      <c r="I15" s="28"/>
      <c r="J15" s="28"/>
      <c r="K15" s="60"/>
    </row>
    <row r="16" spans="1:15" x14ac:dyDescent="0.3">
      <c r="A16" s="3"/>
      <c r="B16" s="1" t="s">
        <v>25</v>
      </c>
      <c r="C16" s="4"/>
      <c r="D16" s="5"/>
      <c r="E16" s="2">
        <f>SUM(E3:E15)</f>
        <v>1677.5</v>
      </c>
      <c r="G16" s="28"/>
      <c r="H16" s="28"/>
      <c r="I16" s="28"/>
      <c r="J16" s="1" t="s">
        <v>25</v>
      </c>
      <c r="K16" s="61">
        <f>SUM(K3:K15)</f>
        <v>2961</v>
      </c>
    </row>
    <row r="18" spans="1:4" x14ac:dyDescent="0.3">
      <c r="A18" s="69" t="s">
        <v>26</v>
      </c>
      <c r="B18" s="70"/>
      <c r="C18" s="70"/>
      <c r="D18" s="70"/>
    </row>
    <row r="19" spans="1:4" x14ac:dyDescent="0.3">
      <c r="A19" s="13" t="s">
        <v>3</v>
      </c>
      <c r="B19" s="13" t="s">
        <v>4</v>
      </c>
      <c r="C19" s="13" t="s">
        <v>28</v>
      </c>
      <c r="D19" s="13" t="s">
        <v>29</v>
      </c>
    </row>
    <row r="20" spans="1:4" x14ac:dyDescent="0.3">
      <c r="A20" s="3">
        <v>1</v>
      </c>
      <c r="B20" s="14"/>
      <c r="C20" s="5"/>
      <c r="D20" s="15"/>
    </row>
    <row r="21" spans="1:4" x14ac:dyDescent="0.3">
      <c r="A21" s="3">
        <f t="shared" ref="A21:A30" si="3">A20+1</f>
        <v>2</v>
      </c>
      <c r="B21" s="14"/>
      <c r="C21" s="5"/>
      <c r="D21" s="15"/>
    </row>
    <row r="22" spans="1:4" x14ac:dyDescent="0.3">
      <c r="A22" s="3">
        <f t="shared" si="3"/>
        <v>3</v>
      </c>
      <c r="B22" s="19"/>
      <c r="C22" s="5"/>
      <c r="D22" s="15"/>
    </row>
    <row r="23" spans="1:4" x14ac:dyDescent="0.3">
      <c r="A23" s="3">
        <f t="shared" si="3"/>
        <v>4</v>
      </c>
      <c r="B23" s="19"/>
      <c r="C23" s="5"/>
      <c r="D23" s="15"/>
    </row>
    <row r="24" spans="1:4" x14ac:dyDescent="0.3">
      <c r="A24" s="3">
        <f t="shared" si="3"/>
        <v>5</v>
      </c>
      <c r="B24" s="19"/>
      <c r="C24" s="5"/>
      <c r="D24" s="15"/>
    </row>
    <row r="25" spans="1:4" x14ac:dyDescent="0.3">
      <c r="A25" s="3">
        <f t="shared" si="3"/>
        <v>6</v>
      </c>
      <c r="B25" s="19"/>
      <c r="C25" s="5"/>
      <c r="D25" s="15"/>
    </row>
    <row r="26" spans="1:4" x14ac:dyDescent="0.3">
      <c r="A26" s="3">
        <f t="shared" si="3"/>
        <v>7</v>
      </c>
      <c r="B26" s="19"/>
      <c r="C26" s="5"/>
      <c r="D26" s="15"/>
    </row>
    <row r="27" spans="1:4" x14ac:dyDescent="0.3">
      <c r="A27" s="3">
        <f t="shared" si="3"/>
        <v>8</v>
      </c>
      <c r="B27" s="19"/>
      <c r="C27" s="5"/>
      <c r="D27" s="15"/>
    </row>
    <row r="28" spans="1:4" x14ac:dyDescent="0.3">
      <c r="A28" s="3">
        <f t="shared" si="3"/>
        <v>9</v>
      </c>
      <c r="B28" s="19"/>
      <c r="C28" s="5"/>
      <c r="D28" s="15"/>
    </row>
    <row r="29" spans="1:4" x14ac:dyDescent="0.3">
      <c r="A29" s="3">
        <f t="shared" si="3"/>
        <v>10</v>
      </c>
      <c r="B29" s="19"/>
      <c r="C29" s="5"/>
      <c r="D29" s="9"/>
    </row>
    <row r="30" spans="1:4" x14ac:dyDescent="0.3">
      <c r="A30" s="3">
        <f t="shared" si="3"/>
        <v>11</v>
      </c>
      <c r="B30" s="19"/>
      <c r="C30" s="5"/>
      <c r="D30" s="9"/>
    </row>
    <row r="31" spans="1:4" x14ac:dyDescent="0.3">
      <c r="A31" s="3">
        <f>A28+1</f>
        <v>10</v>
      </c>
      <c r="B31" s="19"/>
      <c r="C31" s="5"/>
      <c r="D31" s="20"/>
    </row>
    <row r="32" spans="1:4" x14ac:dyDescent="0.3">
      <c r="A32" s="3">
        <f t="shared" ref="A32:A33" si="4">A31+1</f>
        <v>11</v>
      </c>
      <c r="B32" s="21" t="s">
        <v>50</v>
      </c>
      <c r="C32" s="2">
        <f>SUM(C20:C31)</f>
        <v>0</v>
      </c>
      <c r="D32" s="4"/>
    </row>
    <row r="33" spans="1:4" x14ac:dyDescent="0.3">
      <c r="A33" s="3">
        <f t="shared" si="4"/>
        <v>12</v>
      </c>
      <c r="B33" s="21" t="s">
        <v>51</v>
      </c>
      <c r="C33" s="2">
        <f>E16-C32</f>
        <v>1677.5</v>
      </c>
      <c r="D33" s="9"/>
    </row>
  </sheetData>
  <mergeCells count="3">
    <mergeCell ref="A1:E1"/>
    <mergeCell ref="G1:K1"/>
    <mergeCell ref="A18:D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F75F-D501-4BDC-88FE-B2874E656C5E}">
  <dimension ref="A1:P33"/>
  <sheetViews>
    <sheetView tabSelected="1" workbookViewId="0">
      <selection activeCell="D21" sqref="D21"/>
    </sheetView>
  </sheetViews>
  <sheetFormatPr baseColWidth="10" defaultRowHeight="14.4" x14ac:dyDescent="0.3"/>
  <cols>
    <col min="1" max="1" width="7" customWidth="1"/>
    <col min="2" max="2" width="29.88671875" customWidth="1"/>
    <col min="7" max="7" width="6.88671875" customWidth="1"/>
    <col min="8" max="8" width="19.88671875" customWidth="1"/>
    <col min="11" max="11" width="11.44140625" style="42"/>
    <col min="13" max="13" width="15.44140625" bestFit="1" customWidth="1"/>
  </cols>
  <sheetData>
    <row r="1" spans="1:16" x14ac:dyDescent="0.3">
      <c r="A1" s="69" t="s">
        <v>0</v>
      </c>
      <c r="B1" s="70"/>
      <c r="C1" s="70"/>
      <c r="D1" s="70"/>
      <c r="E1" s="70"/>
      <c r="G1" s="69" t="s">
        <v>1</v>
      </c>
      <c r="H1" s="70"/>
      <c r="I1" s="70"/>
      <c r="J1" s="70"/>
      <c r="K1" s="70"/>
      <c r="M1" s="1" t="s">
        <v>2</v>
      </c>
      <c r="N1">
        <v>34.47</v>
      </c>
      <c r="P1">
        <v>2800</v>
      </c>
    </row>
    <row r="2" spans="1:1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M2" s="2">
        <f>E16+K16</f>
        <v>4315.51</v>
      </c>
      <c r="N2">
        <v>5.5</v>
      </c>
      <c r="P2">
        <v>-1000</v>
      </c>
    </row>
    <row r="3" spans="1:16" x14ac:dyDescent="0.3">
      <c r="A3" s="3">
        <v>1</v>
      </c>
      <c r="B3" s="19" t="s">
        <v>198</v>
      </c>
      <c r="C3" s="4">
        <v>8.5500000000000007</v>
      </c>
      <c r="D3" s="5">
        <v>14</v>
      </c>
      <c r="E3" s="5">
        <f t="shared" ref="E3:E12" si="0">C3*D3</f>
        <v>119.70000000000002</v>
      </c>
      <c r="G3" s="3">
        <v>1</v>
      </c>
      <c r="H3" s="4" t="s">
        <v>213</v>
      </c>
      <c r="I3" s="4">
        <v>10</v>
      </c>
      <c r="J3" s="6">
        <v>20</v>
      </c>
      <c r="K3" s="5">
        <f t="shared" ref="K3:K9" si="1">I3*J3</f>
        <v>200</v>
      </c>
      <c r="P3">
        <v>3777</v>
      </c>
    </row>
    <row r="4" spans="1:16" x14ac:dyDescent="0.3">
      <c r="A4" s="3">
        <v>2</v>
      </c>
      <c r="B4" s="19" t="s">
        <v>197</v>
      </c>
      <c r="C4" s="4">
        <v>7.74</v>
      </c>
      <c r="D4" s="5">
        <v>14</v>
      </c>
      <c r="E4" s="5">
        <f t="shared" si="0"/>
        <v>108.36</v>
      </c>
      <c r="G4" s="3">
        <f t="shared" ref="G4:G13" si="2">G3+1</f>
        <v>2</v>
      </c>
      <c r="H4" s="4" t="s">
        <v>202</v>
      </c>
      <c r="I4" s="4">
        <v>6</v>
      </c>
      <c r="J4" s="6">
        <v>6</v>
      </c>
      <c r="K4" s="5">
        <f t="shared" si="1"/>
        <v>36</v>
      </c>
    </row>
    <row r="5" spans="1:16" x14ac:dyDescent="0.3">
      <c r="A5" s="3">
        <v>3</v>
      </c>
      <c r="B5" s="19" t="s">
        <v>199</v>
      </c>
      <c r="C5" s="4">
        <v>9</v>
      </c>
      <c r="D5" s="5">
        <v>14</v>
      </c>
      <c r="E5" s="5">
        <f t="shared" si="0"/>
        <v>126</v>
      </c>
      <c r="G5" s="3">
        <f t="shared" si="2"/>
        <v>3</v>
      </c>
      <c r="H5" s="4" t="s">
        <v>203</v>
      </c>
      <c r="I5" s="4">
        <v>5</v>
      </c>
      <c r="J5" s="6">
        <v>30</v>
      </c>
      <c r="K5" s="5">
        <f t="shared" si="1"/>
        <v>150</v>
      </c>
    </row>
    <row r="6" spans="1:16" x14ac:dyDescent="0.3">
      <c r="A6" s="3">
        <v>4</v>
      </c>
      <c r="B6" s="19" t="s">
        <v>200</v>
      </c>
      <c r="C6" s="4">
        <v>9.18</v>
      </c>
      <c r="D6" s="5">
        <v>14</v>
      </c>
      <c r="E6" s="5">
        <f t="shared" si="0"/>
        <v>128.51999999999998</v>
      </c>
      <c r="G6" s="3">
        <f t="shared" si="2"/>
        <v>4</v>
      </c>
      <c r="H6" s="4" t="s">
        <v>176</v>
      </c>
      <c r="I6" s="4">
        <v>40</v>
      </c>
      <c r="J6" s="6">
        <v>29.5</v>
      </c>
      <c r="K6" s="5">
        <f t="shared" si="1"/>
        <v>1180</v>
      </c>
    </row>
    <row r="7" spans="1:16" x14ac:dyDescent="0.3">
      <c r="A7" s="3">
        <v>5</v>
      </c>
      <c r="B7" s="19" t="s">
        <v>204</v>
      </c>
      <c r="C7" s="4">
        <v>1</v>
      </c>
      <c r="D7" s="5">
        <v>250</v>
      </c>
      <c r="E7" s="5">
        <f t="shared" si="0"/>
        <v>250</v>
      </c>
      <c r="G7" s="3">
        <f t="shared" si="2"/>
        <v>5</v>
      </c>
      <c r="H7" s="4" t="s">
        <v>205</v>
      </c>
      <c r="I7" s="4">
        <v>3</v>
      </c>
      <c r="J7" s="6">
        <v>250</v>
      </c>
      <c r="K7" s="5">
        <f t="shared" si="1"/>
        <v>750</v>
      </c>
    </row>
    <row r="8" spans="1:16" x14ac:dyDescent="0.3">
      <c r="A8" s="3">
        <v>6</v>
      </c>
      <c r="B8" s="68" t="s">
        <v>209</v>
      </c>
      <c r="C8" s="4">
        <v>52.15</v>
      </c>
      <c r="D8" s="5">
        <v>7</v>
      </c>
      <c r="E8" s="5">
        <f t="shared" si="0"/>
        <v>365.05</v>
      </c>
      <c r="G8" s="7">
        <f t="shared" si="2"/>
        <v>6</v>
      </c>
      <c r="H8" s="16" t="s">
        <v>206</v>
      </c>
      <c r="I8" s="16">
        <v>3</v>
      </c>
      <c r="J8" s="17">
        <v>100</v>
      </c>
      <c r="K8" s="5">
        <f t="shared" si="1"/>
        <v>300</v>
      </c>
      <c r="M8" s="10"/>
    </row>
    <row r="9" spans="1:16" x14ac:dyDescent="0.3">
      <c r="A9" s="3">
        <v>7</v>
      </c>
      <c r="B9" s="4" t="s">
        <v>207</v>
      </c>
      <c r="C9" s="4">
        <v>25.2</v>
      </c>
      <c r="D9" s="5">
        <v>14</v>
      </c>
      <c r="E9" s="5">
        <f t="shared" si="0"/>
        <v>352.8</v>
      </c>
      <c r="G9" s="33">
        <f t="shared" si="2"/>
        <v>7</v>
      </c>
      <c r="H9" s="41"/>
      <c r="I9" s="41"/>
      <c r="J9" s="59"/>
      <c r="K9" s="5">
        <f t="shared" si="1"/>
        <v>0</v>
      </c>
    </row>
    <row r="10" spans="1:16" x14ac:dyDescent="0.3">
      <c r="A10" s="3">
        <v>8</v>
      </c>
      <c r="B10" s="4" t="s">
        <v>211</v>
      </c>
      <c r="C10" s="4">
        <v>16.399999999999999</v>
      </c>
      <c r="D10" s="5">
        <v>10</v>
      </c>
      <c r="E10" s="5">
        <f t="shared" si="0"/>
        <v>164</v>
      </c>
      <c r="G10" s="33">
        <f t="shared" si="2"/>
        <v>8</v>
      </c>
      <c r="H10" s="41"/>
      <c r="I10" s="41"/>
      <c r="J10" s="59"/>
      <c r="K10" s="27"/>
    </row>
    <row r="11" spans="1:16" x14ac:dyDescent="0.3">
      <c r="A11" s="3">
        <v>9</v>
      </c>
      <c r="B11" s="4" t="s">
        <v>210</v>
      </c>
      <c r="C11" s="4">
        <v>2.09</v>
      </c>
      <c r="D11" s="5">
        <v>12</v>
      </c>
      <c r="E11" s="5">
        <f t="shared" si="0"/>
        <v>25.08</v>
      </c>
      <c r="G11" s="33">
        <f t="shared" si="2"/>
        <v>9</v>
      </c>
      <c r="H11" s="41"/>
      <c r="I11" s="41"/>
      <c r="J11" s="59"/>
      <c r="K11" s="27"/>
    </row>
    <row r="12" spans="1:16" x14ac:dyDescent="0.3">
      <c r="A12" s="3">
        <v>10</v>
      </c>
      <c r="B12" s="4" t="s">
        <v>212</v>
      </c>
      <c r="C12" s="4">
        <v>2</v>
      </c>
      <c r="D12" s="5">
        <v>30</v>
      </c>
      <c r="E12" s="5">
        <f t="shared" si="0"/>
        <v>60</v>
      </c>
      <c r="G12" s="33">
        <f t="shared" si="2"/>
        <v>10</v>
      </c>
      <c r="H12" s="41"/>
      <c r="I12" s="41"/>
      <c r="J12" s="59"/>
      <c r="K12" s="27"/>
    </row>
    <row r="13" spans="1:16" x14ac:dyDescent="0.3">
      <c r="A13" s="3"/>
      <c r="B13" s="4"/>
      <c r="C13" s="4"/>
      <c r="D13" s="5"/>
      <c r="E13" s="5"/>
      <c r="G13" s="33">
        <f t="shared" si="2"/>
        <v>11</v>
      </c>
      <c r="H13" s="41"/>
      <c r="I13" s="41"/>
      <c r="J13" s="27"/>
      <c r="K13" s="27"/>
      <c r="P13">
        <f>SUM(P1:P12)</f>
        <v>5577</v>
      </c>
    </row>
    <row r="14" spans="1:16" x14ac:dyDescent="0.3">
      <c r="A14" s="3"/>
      <c r="B14" s="4"/>
      <c r="C14" s="4"/>
      <c r="D14" s="5"/>
      <c r="E14" s="5"/>
      <c r="G14" s="28"/>
      <c r="H14" s="28"/>
      <c r="I14" s="28"/>
      <c r="J14" s="28"/>
      <c r="K14" s="60"/>
    </row>
    <row r="15" spans="1:16" x14ac:dyDescent="0.3">
      <c r="A15" s="3"/>
      <c r="B15" s="1" t="s">
        <v>53</v>
      </c>
      <c r="C15" s="8"/>
      <c r="D15" s="5"/>
      <c r="E15" s="2"/>
      <c r="G15" s="28"/>
      <c r="H15" s="28"/>
      <c r="I15" s="28"/>
      <c r="J15" s="28"/>
      <c r="K15" s="60"/>
    </row>
    <row r="16" spans="1:16" x14ac:dyDescent="0.3">
      <c r="A16" s="3"/>
      <c r="B16" s="1" t="s">
        <v>25</v>
      </c>
      <c r="C16" s="4"/>
      <c r="D16" s="5"/>
      <c r="E16" s="2">
        <f>SUM(E3:E15)</f>
        <v>1699.5099999999998</v>
      </c>
      <c r="G16" s="28"/>
      <c r="H16" s="28"/>
      <c r="I16" s="28"/>
      <c r="J16" s="1" t="s">
        <v>25</v>
      </c>
      <c r="K16" s="61">
        <f>SUM(K3:K15)</f>
        <v>2616</v>
      </c>
    </row>
    <row r="18" spans="1:14" x14ac:dyDescent="0.3">
      <c r="A18" s="69" t="s">
        <v>26</v>
      </c>
      <c r="B18" s="70"/>
      <c r="C18" s="70"/>
      <c r="D18" s="70"/>
    </row>
    <row r="19" spans="1:14" x14ac:dyDescent="0.3">
      <c r="A19" s="13" t="s">
        <v>3</v>
      </c>
      <c r="B19" s="13" t="s">
        <v>4</v>
      </c>
      <c r="C19" s="13" t="s">
        <v>28</v>
      </c>
      <c r="D19" s="13" t="s">
        <v>29</v>
      </c>
    </row>
    <row r="20" spans="1:14" x14ac:dyDescent="0.3">
      <c r="A20" s="3">
        <v>1</v>
      </c>
      <c r="B20" s="14" t="s">
        <v>214</v>
      </c>
      <c r="C20" s="5">
        <v>1400</v>
      </c>
      <c r="D20" s="15">
        <v>45878</v>
      </c>
    </row>
    <row r="21" spans="1:14" x14ac:dyDescent="0.3">
      <c r="A21" s="3">
        <f t="shared" ref="A21:A30" si="3">A20+1</f>
        <v>2</v>
      </c>
      <c r="B21" s="14"/>
      <c r="C21" s="5"/>
      <c r="D21" s="15"/>
    </row>
    <row r="22" spans="1:14" x14ac:dyDescent="0.3">
      <c r="A22" s="3">
        <f t="shared" si="3"/>
        <v>3</v>
      </c>
      <c r="B22" s="19"/>
      <c r="C22" s="5"/>
      <c r="D22" s="15"/>
      <c r="N22">
        <f>SUM(N1:N21)</f>
        <v>39.97</v>
      </c>
    </row>
    <row r="23" spans="1:14" x14ac:dyDescent="0.3">
      <c r="A23" s="3">
        <f t="shared" si="3"/>
        <v>4</v>
      </c>
      <c r="B23" s="19"/>
      <c r="C23" s="5"/>
      <c r="D23" s="15"/>
    </row>
    <row r="24" spans="1:14" x14ac:dyDescent="0.3">
      <c r="A24" s="3">
        <f t="shared" si="3"/>
        <v>5</v>
      </c>
      <c r="B24" s="19"/>
      <c r="C24" s="5"/>
      <c r="D24" s="15"/>
    </row>
    <row r="25" spans="1:14" x14ac:dyDescent="0.3">
      <c r="A25" s="3">
        <f t="shared" si="3"/>
        <v>6</v>
      </c>
      <c r="B25" s="19"/>
      <c r="C25" s="5"/>
      <c r="D25" s="15"/>
    </row>
    <row r="26" spans="1:14" x14ac:dyDescent="0.3">
      <c r="A26" s="3">
        <f t="shared" si="3"/>
        <v>7</v>
      </c>
      <c r="B26" s="19"/>
      <c r="C26" s="5"/>
      <c r="D26" s="15"/>
    </row>
    <row r="27" spans="1:14" x14ac:dyDescent="0.3">
      <c r="A27" s="3">
        <f t="shared" si="3"/>
        <v>8</v>
      </c>
      <c r="B27" s="19"/>
      <c r="C27" s="5"/>
      <c r="D27" s="15"/>
    </row>
    <row r="28" spans="1:14" x14ac:dyDescent="0.3">
      <c r="A28" s="3">
        <f t="shared" si="3"/>
        <v>9</v>
      </c>
      <c r="B28" s="19"/>
      <c r="C28" s="5"/>
      <c r="D28" s="15"/>
    </row>
    <row r="29" spans="1:14" x14ac:dyDescent="0.3">
      <c r="A29" s="3">
        <f t="shared" si="3"/>
        <v>10</v>
      </c>
      <c r="B29" s="19"/>
      <c r="C29" s="5"/>
      <c r="D29" s="9"/>
    </row>
    <row r="30" spans="1:14" x14ac:dyDescent="0.3">
      <c r="A30" s="3">
        <f t="shared" si="3"/>
        <v>11</v>
      </c>
      <c r="B30" s="19"/>
      <c r="C30" s="5"/>
      <c r="D30" s="9"/>
    </row>
    <row r="31" spans="1:14" x14ac:dyDescent="0.3">
      <c r="A31" s="3">
        <f>A28+1</f>
        <v>10</v>
      </c>
      <c r="B31" s="19"/>
      <c r="C31" s="5"/>
      <c r="D31" s="20"/>
    </row>
    <row r="32" spans="1:14" x14ac:dyDescent="0.3">
      <c r="A32" s="3">
        <f t="shared" ref="A32:A33" si="4">A31+1</f>
        <v>11</v>
      </c>
      <c r="B32" s="21" t="s">
        <v>50</v>
      </c>
      <c r="C32" s="2">
        <f>SUM(C20:C31)</f>
        <v>1400</v>
      </c>
      <c r="D32" s="4"/>
    </row>
    <row r="33" spans="1:4" x14ac:dyDescent="0.3">
      <c r="A33" s="3">
        <f t="shared" si="4"/>
        <v>12</v>
      </c>
      <c r="B33" s="21" t="s">
        <v>51</v>
      </c>
      <c r="C33" s="2">
        <f>E16-C32</f>
        <v>299.50999999999976</v>
      </c>
      <c r="D33" s="9"/>
    </row>
  </sheetData>
  <mergeCells count="3">
    <mergeCell ref="A1:E1"/>
    <mergeCell ref="G1:K1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Piso 3 Cuarto 1</vt:lpstr>
      <vt:lpstr>Estructura</vt:lpstr>
      <vt:lpstr>Tarrajeo</vt:lpstr>
      <vt:lpstr>Ceramica</vt:lpstr>
      <vt:lpstr>Pintada</vt:lpstr>
      <vt:lpstr>Luz</vt:lpstr>
      <vt:lpstr>Lavanderia</vt:lpstr>
      <vt:lpstr>Final 1P Piso3</vt:lpstr>
      <vt:lpstr>Porce 1P</vt:lpstr>
      <vt:lpstr>Final RJ Piso3</vt:lpstr>
      <vt:lpstr>Yeta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2024-07-12T03:15:19Z</dcterms:created>
  <dcterms:modified xsi:type="dcterms:W3CDTF">2025-08-10T00:49:54Z</dcterms:modified>
</cp:coreProperties>
</file>